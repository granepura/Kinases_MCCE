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Trial Data" sheetId="1" state="visible" r:id="rId1"/>
    <sheet xmlns:r="http://schemas.openxmlformats.org/officeDocument/2006/relationships" name="Table 1 (Trials)" sheetId="2" state="visible" r:id="rId2"/>
    <sheet xmlns:r="http://schemas.openxmlformats.org/officeDocument/2006/relationships" name="Per-Trial Conf" sheetId="3" state="visible" r:id="rId3"/>
    <sheet xmlns:r="http://schemas.openxmlformats.org/officeDocument/2006/relationships" name="SI-Table2" sheetId="4" state="visible" r:id="rId4"/>
    <sheet xmlns:r="http://schemas.openxmlformats.org/officeDocument/2006/relationships" name="Methods" sheetId="5" state="visible" r:id="rId5"/>
    <sheet xmlns:r="http://schemas.openxmlformats.org/officeDocument/2006/relationships" name="Outliers (holo-apo)" sheetId="6" state="visible" r:id="rId6"/>
    <sheet xmlns:r="http://schemas.openxmlformats.org/officeDocument/2006/relationships" name="Reproduci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  <font>
      <name val="Arial"/>
      <i val="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/>
      <c r="B1" s="1" t="inlineStr"/>
      <c r="C1" s="1" t="inlineStr"/>
      <c r="D1" s="1" t="inlineStr">
        <is>
          <t>Ligand #conf</t>
        </is>
      </c>
      <c r="G1" s="1" t="inlineStr">
        <is>
          <t>Ligand crg soln</t>
        </is>
      </c>
      <c r="J1" s="1" t="inlineStr">
        <is>
          <t>Ligand crg bound</t>
        </is>
      </c>
      <c r="M1" s="1" t="inlineStr">
        <is>
          <t>Apo-kinase charge</t>
        </is>
      </c>
      <c r="P1" s="1" t="inlineStr">
        <is>
          <t>Holo-kinase charge</t>
        </is>
      </c>
    </row>
    <row r="2">
      <c r="A2" s="2" t="inlineStr">
        <is>
          <t>PDBID</t>
        </is>
      </c>
      <c r="B2" s="2" t="inlineStr">
        <is>
          <t>Ligand</t>
        </is>
      </c>
      <c r="C2" s="2" t="inlineStr">
        <is>
          <t>Kinase</t>
        </is>
      </c>
      <c r="D2" s="2" t="inlineStr">
        <is>
          <t>T01</t>
        </is>
      </c>
      <c r="E2" s="2" t="inlineStr">
        <is>
          <t>T02</t>
        </is>
      </c>
      <c r="F2" s="2" t="inlineStr">
        <is>
          <t>T03</t>
        </is>
      </c>
      <c r="G2" s="2" t="inlineStr">
        <is>
          <t>T01</t>
        </is>
      </c>
      <c r="H2" s="2" t="inlineStr">
        <is>
          <t>T02</t>
        </is>
      </c>
      <c r="I2" s="2" t="inlineStr">
        <is>
          <t>T03</t>
        </is>
      </c>
      <c r="J2" s="2" t="inlineStr">
        <is>
          <t>T01</t>
        </is>
      </c>
      <c r="K2" s="2" t="inlineStr">
        <is>
          <t>T02</t>
        </is>
      </c>
      <c r="L2" s="2" t="inlineStr">
        <is>
          <t>T03</t>
        </is>
      </c>
      <c r="M2" s="2" t="inlineStr">
        <is>
          <t>T01</t>
        </is>
      </c>
      <c r="N2" s="2" t="inlineStr">
        <is>
          <t>T02</t>
        </is>
      </c>
      <c r="O2" s="2" t="inlineStr">
        <is>
          <t>T03</t>
        </is>
      </c>
      <c r="P2" s="2" t="inlineStr">
        <is>
          <t>T01</t>
        </is>
      </c>
      <c r="Q2" s="2" t="inlineStr">
        <is>
          <t>T02</t>
        </is>
      </c>
      <c r="R2" s="2" t="inlineStr">
        <is>
          <t>T03</t>
        </is>
      </c>
    </row>
    <row r="3">
      <c r="A3" s="3" t="inlineStr">
        <is>
          <t>1XKK</t>
        </is>
      </c>
      <c r="B3" s="3" t="inlineStr">
        <is>
          <t>Lapatinib</t>
        </is>
      </c>
      <c r="C3" s="3" t="inlineStr">
        <is>
          <t>EGFR</t>
        </is>
      </c>
      <c r="D3" s="3" t="n">
        <v>4</v>
      </c>
      <c r="E3" s="3" t="n">
        <v>5</v>
      </c>
      <c r="F3" s="3" t="n">
        <v>4</v>
      </c>
      <c r="G3" s="4" t="n">
        <v>0.95</v>
      </c>
      <c r="H3" s="4" t="n">
        <v>0.95</v>
      </c>
      <c r="I3" s="4" t="n">
        <v>0.95</v>
      </c>
      <c r="J3" s="4" t="n">
        <v>0.7</v>
      </c>
      <c r="K3" s="4" t="n">
        <v>0.5</v>
      </c>
      <c r="L3" s="4" t="n">
        <v>0.53</v>
      </c>
      <c r="M3" s="4" t="n">
        <v>0.47</v>
      </c>
      <c r="N3" s="4" t="n">
        <v>0.45</v>
      </c>
      <c r="O3" s="4" t="n">
        <v>0.51</v>
      </c>
      <c r="P3" s="4" t="n">
        <v>0.71</v>
      </c>
      <c r="Q3" s="4" t="n">
        <v>0.6</v>
      </c>
      <c r="R3" s="4" t="n">
        <v>0.67</v>
      </c>
    </row>
    <row r="4">
      <c r="A4" s="3" t="inlineStr">
        <is>
          <t>2EUF</t>
        </is>
      </c>
      <c r="B4" s="3" t="inlineStr">
        <is>
          <t>Palbociclib</t>
        </is>
      </c>
      <c r="C4" s="3" t="inlineStr">
        <is>
          <t>CDK6</t>
        </is>
      </c>
      <c r="D4" s="3" t="n">
        <v>2</v>
      </c>
      <c r="E4" s="3" t="n">
        <v>2</v>
      </c>
      <c r="F4" s="3" t="n">
        <v>2</v>
      </c>
      <c r="G4" s="4" t="n">
        <v>0.98</v>
      </c>
      <c r="H4" s="4" t="n">
        <v>0.98</v>
      </c>
      <c r="I4" s="4" t="n">
        <v>0.98</v>
      </c>
      <c r="J4" s="4" t="n">
        <v>1</v>
      </c>
      <c r="K4" s="4" t="n">
        <v>1</v>
      </c>
      <c r="L4" s="4" t="n">
        <v>1</v>
      </c>
      <c r="M4" s="4" t="n">
        <v>-9.33</v>
      </c>
      <c r="N4" s="4" t="n">
        <v>-9.68</v>
      </c>
      <c r="O4" s="4" t="n">
        <v>-9.75</v>
      </c>
      <c r="P4" s="4" t="n">
        <v>-8.5</v>
      </c>
      <c r="Q4" s="4" t="n">
        <v>-8.859999999999999</v>
      </c>
      <c r="R4" s="4" t="n">
        <v>-8.93</v>
      </c>
    </row>
    <row r="5">
      <c r="A5" s="3" t="inlineStr">
        <is>
          <t>2HYY</t>
        </is>
      </c>
      <c r="B5" s="3" t="inlineStr">
        <is>
          <t>Imatinib</t>
        </is>
      </c>
      <c r="C5" s="3" t="inlineStr">
        <is>
          <t>ABL</t>
        </is>
      </c>
      <c r="D5" s="3" t="n">
        <v>5</v>
      </c>
      <c r="E5" s="3" t="n">
        <v>5</v>
      </c>
      <c r="F5" s="3" t="n">
        <v>5</v>
      </c>
      <c r="G5" s="4" t="n">
        <v>0.97</v>
      </c>
      <c r="H5" s="4" t="n">
        <v>0.97</v>
      </c>
      <c r="I5" s="4" t="n">
        <v>0.97</v>
      </c>
      <c r="J5" s="4" t="n">
        <v>1</v>
      </c>
      <c r="K5" s="4" t="n">
        <v>1</v>
      </c>
      <c r="L5" s="4" t="n">
        <v>1</v>
      </c>
      <c r="M5" s="4" t="n">
        <v>-6.2</v>
      </c>
      <c r="N5" s="4" t="n">
        <v>-6.18</v>
      </c>
      <c r="O5" s="4" t="n">
        <v>-6.19</v>
      </c>
      <c r="P5" s="4" t="n">
        <v>-5.4</v>
      </c>
      <c r="Q5" s="4" t="n">
        <v>-5.34</v>
      </c>
      <c r="R5" s="4" t="n">
        <v>-5.38</v>
      </c>
    </row>
    <row r="6">
      <c r="A6" s="3" t="inlineStr">
        <is>
          <t>2ITO</t>
        </is>
      </c>
      <c r="B6" s="3" t="inlineStr">
        <is>
          <t>Gefitinib</t>
        </is>
      </c>
      <c r="C6" s="3" t="inlineStr">
        <is>
          <t>EGFR</t>
        </is>
      </c>
      <c r="D6" s="3" t="n">
        <v>5</v>
      </c>
      <c r="E6" s="3" t="n">
        <v>5</v>
      </c>
      <c r="F6" s="3" t="n">
        <v>5</v>
      </c>
      <c r="G6" s="4" t="n">
        <v>0.3</v>
      </c>
      <c r="H6" s="4" t="n">
        <v>0.3</v>
      </c>
      <c r="I6" s="4" t="n">
        <v>0.3</v>
      </c>
      <c r="J6" s="4" t="n">
        <v>0.75</v>
      </c>
      <c r="K6" s="4" t="n">
        <v>0.8</v>
      </c>
      <c r="L6" s="4" t="n">
        <v>0.8</v>
      </c>
      <c r="M6" s="4" t="n">
        <v>-7</v>
      </c>
      <c r="N6" s="4" t="n">
        <v>-7.13</v>
      </c>
      <c r="O6" s="4" t="n">
        <v>-7.1</v>
      </c>
      <c r="P6" s="4" t="n">
        <v>-6.4</v>
      </c>
      <c r="Q6" s="4" t="n">
        <v>-6.51</v>
      </c>
      <c r="R6" s="4" t="n">
        <v>-6.52</v>
      </c>
    </row>
    <row r="7">
      <c r="A7" s="3" t="inlineStr">
        <is>
          <t>2ITY</t>
        </is>
      </c>
      <c r="B7" s="3" t="inlineStr">
        <is>
          <t>Gefitinib</t>
        </is>
      </c>
      <c r="C7" s="3" t="inlineStr">
        <is>
          <t>EGFR</t>
        </is>
      </c>
      <c r="D7" s="3" t="n">
        <v>5</v>
      </c>
      <c r="E7" s="3" t="n">
        <v>5</v>
      </c>
      <c r="F7" s="3" t="n">
        <v>5</v>
      </c>
      <c r="G7" s="4" t="n">
        <v>0.3</v>
      </c>
      <c r="H7" s="4" t="n">
        <v>0.3</v>
      </c>
      <c r="I7" s="4" t="n">
        <v>0.3</v>
      </c>
      <c r="J7" s="4" t="n">
        <v>0.35</v>
      </c>
      <c r="K7" s="4" t="n">
        <v>0.35</v>
      </c>
      <c r="L7" s="4" t="n">
        <v>0.35</v>
      </c>
      <c r="M7" s="4" t="n">
        <v>-6.05</v>
      </c>
      <c r="N7" s="4" t="n">
        <v>-6.01</v>
      </c>
      <c r="O7" s="4" t="n">
        <v>-6.03</v>
      </c>
      <c r="P7" s="4" t="n">
        <v>-5.77</v>
      </c>
      <c r="Q7" s="4" t="n">
        <v>-5.74</v>
      </c>
      <c r="R7" s="4" t="n">
        <v>-5.77</v>
      </c>
    </row>
    <row r="8">
      <c r="A8" s="3" t="inlineStr">
        <is>
          <t>2ITZ</t>
        </is>
      </c>
      <c r="B8" s="3" t="inlineStr">
        <is>
          <t>Gefitinib</t>
        </is>
      </c>
      <c r="C8" s="3" t="inlineStr">
        <is>
          <t>EGFR</t>
        </is>
      </c>
      <c r="D8" s="3" t="n">
        <v>5</v>
      </c>
      <c r="E8" s="3" t="n">
        <v>5</v>
      </c>
      <c r="F8" s="3" t="n">
        <v>5</v>
      </c>
      <c r="G8" s="4" t="n">
        <v>0.3</v>
      </c>
      <c r="H8" s="4" t="n">
        <v>0.3</v>
      </c>
      <c r="I8" s="4" t="n">
        <v>0.3</v>
      </c>
      <c r="J8" s="4" t="n">
        <v>0.64</v>
      </c>
      <c r="K8" s="4" t="n">
        <v>0.65</v>
      </c>
      <c r="L8" s="4" t="n">
        <v>0.66</v>
      </c>
      <c r="M8" s="4" t="n">
        <v>-4.69</v>
      </c>
      <c r="N8" s="4" t="n">
        <v>-4.98</v>
      </c>
      <c r="O8" s="4" t="n">
        <v>-4.95</v>
      </c>
      <c r="P8" s="4" t="n">
        <v>-4.15</v>
      </c>
      <c r="Q8" s="4" t="n">
        <v>-4.45</v>
      </c>
      <c r="R8" s="4" t="n">
        <v>-4.38</v>
      </c>
    </row>
    <row r="9">
      <c r="A9" s="3" t="inlineStr">
        <is>
          <t>2WGJ</t>
        </is>
      </c>
      <c r="B9" s="3" t="inlineStr">
        <is>
          <t>Crizotinib</t>
        </is>
      </c>
      <c r="C9" s="3" t="inlineStr">
        <is>
          <t>MET</t>
        </is>
      </c>
      <c r="D9" s="3" t="n">
        <v>5</v>
      </c>
      <c r="E9" s="3" t="n">
        <v>4</v>
      </c>
      <c r="F9" s="3" t="n">
        <v>4</v>
      </c>
      <c r="G9" s="4" t="n">
        <v>1.61</v>
      </c>
      <c r="H9" s="4" t="n">
        <v>1.61</v>
      </c>
      <c r="I9" s="4" t="n">
        <v>1.61</v>
      </c>
      <c r="J9" s="4" t="n">
        <v>0.96</v>
      </c>
      <c r="K9" s="4" t="n">
        <v>0.96</v>
      </c>
      <c r="L9" s="4" t="n">
        <v>0.97</v>
      </c>
      <c r="M9" s="4" t="n">
        <v>7</v>
      </c>
      <c r="N9" s="4" t="n">
        <v>7.02</v>
      </c>
      <c r="O9" s="4" t="n">
        <v>7.05</v>
      </c>
      <c r="P9" s="4" t="n">
        <v>7.71</v>
      </c>
      <c r="Q9" s="4" t="n">
        <v>7.74</v>
      </c>
      <c r="R9" s="4" t="n">
        <v>7.78</v>
      </c>
    </row>
    <row r="10">
      <c r="A10" s="3" t="inlineStr">
        <is>
          <t>2XP2</t>
        </is>
      </c>
      <c r="B10" s="3" t="inlineStr">
        <is>
          <t>Crizotinib</t>
        </is>
      </c>
      <c r="C10" s="3" t="inlineStr">
        <is>
          <t>ALK</t>
        </is>
      </c>
      <c r="D10" s="3" t="n">
        <v>4</v>
      </c>
      <c r="E10" s="3" t="n">
        <v>4</v>
      </c>
      <c r="F10" s="3" t="n">
        <v>4</v>
      </c>
      <c r="G10" s="4" t="n">
        <v>1.61</v>
      </c>
      <c r="H10" s="4" t="n">
        <v>1.61</v>
      </c>
      <c r="I10" s="4" t="n">
        <v>1.61</v>
      </c>
      <c r="J10" s="4" t="n">
        <v>1</v>
      </c>
      <c r="K10" s="4" t="n">
        <v>1</v>
      </c>
      <c r="L10" s="4" t="n">
        <v>1</v>
      </c>
      <c r="M10" s="4" t="n">
        <v>-5.51</v>
      </c>
      <c r="N10" s="4" t="n">
        <v>-5.96</v>
      </c>
      <c r="O10" s="4" t="n">
        <v>-5.92</v>
      </c>
      <c r="P10" s="4" t="n">
        <v>-4.58</v>
      </c>
      <c r="Q10" s="4" t="n">
        <v>-5.01</v>
      </c>
      <c r="R10" s="4" t="n">
        <v>-4.99</v>
      </c>
    </row>
    <row r="11">
      <c r="A11" s="3" t="inlineStr">
        <is>
          <t>2YFX</t>
        </is>
      </c>
      <c r="B11" s="3" t="inlineStr">
        <is>
          <t>Crizotinib</t>
        </is>
      </c>
      <c r="C11" s="3" t="inlineStr">
        <is>
          <t>ALK</t>
        </is>
      </c>
      <c r="D11" s="3" t="n">
        <v>5</v>
      </c>
      <c r="E11" s="3" t="n">
        <v>4</v>
      </c>
      <c r="F11" s="3" t="n">
        <v>4</v>
      </c>
      <c r="G11" s="4" t="n">
        <v>1.61</v>
      </c>
      <c r="H11" s="4" t="n">
        <v>1.61</v>
      </c>
      <c r="I11" s="4" t="n">
        <v>1.61</v>
      </c>
      <c r="J11" s="4" t="n">
        <v>1</v>
      </c>
      <c r="K11" s="4" t="n">
        <v>1</v>
      </c>
      <c r="L11" s="4" t="n">
        <v>1</v>
      </c>
      <c r="M11" s="4" t="n">
        <v>-4.59</v>
      </c>
      <c r="N11" s="4" t="n">
        <v>-4.59</v>
      </c>
      <c r="O11" s="4" t="n">
        <v>-4.59</v>
      </c>
      <c r="P11" s="4" t="n">
        <v>-3.59</v>
      </c>
      <c r="Q11" s="4" t="n">
        <v>-3.62</v>
      </c>
      <c r="R11" s="4" t="n">
        <v>-3.61</v>
      </c>
    </row>
    <row r="12">
      <c r="A12" s="3" t="inlineStr">
        <is>
          <t>3AOX</t>
        </is>
      </c>
      <c r="B12" s="3" t="inlineStr">
        <is>
          <t>Alectinib</t>
        </is>
      </c>
      <c r="C12" s="3" t="inlineStr">
        <is>
          <t>ALK</t>
        </is>
      </c>
      <c r="D12" s="3" t="n">
        <v>2</v>
      </c>
      <c r="E12" s="3" t="n">
        <v>2</v>
      </c>
      <c r="F12" s="3" t="n">
        <v>3</v>
      </c>
      <c r="G12" s="4" t="n">
        <v>0.5600000000000001</v>
      </c>
      <c r="H12" s="4" t="n">
        <v>0.5600000000000001</v>
      </c>
      <c r="I12" s="4" t="n">
        <v>0.5600000000000001</v>
      </c>
      <c r="J12" s="4" t="n">
        <v>0.79</v>
      </c>
      <c r="K12" s="4" t="n">
        <v>0.9</v>
      </c>
      <c r="L12" s="4" t="n">
        <v>0.79</v>
      </c>
      <c r="M12" s="4" t="n">
        <v>-8.4</v>
      </c>
      <c r="N12" s="4" t="n">
        <v>-8.369999999999999</v>
      </c>
      <c r="O12" s="4" t="n">
        <v>-8.359999999999999</v>
      </c>
      <c r="P12" s="4" t="n">
        <v>-7.65</v>
      </c>
      <c r="Q12" s="4" t="n">
        <v>-7.5</v>
      </c>
      <c r="R12" s="4" t="n">
        <v>-7.63</v>
      </c>
    </row>
    <row r="13">
      <c r="A13" s="3" t="inlineStr">
        <is>
          <t>3CS9</t>
        </is>
      </c>
      <c r="B13" s="3" t="inlineStr">
        <is>
          <t>Nilotinib</t>
        </is>
      </c>
      <c r="C13" s="3" t="inlineStr">
        <is>
          <t>ABL</t>
        </is>
      </c>
      <c r="D13" s="3" t="n">
        <v>3</v>
      </c>
      <c r="E13" s="3" t="n">
        <v>3</v>
      </c>
      <c r="F13" s="3" t="n">
        <v>4</v>
      </c>
      <c r="G13" s="4" t="n">
        <v>0.09</v>
      </c>
      <c r="H13" s="4" t="n">
        <v>0.09</v>
      </c>
      <c r="I13" s="4" t="n">
        <v>0.09</v>
      </c>
      <c r="J13" s="4" t="n">
        <v>0.42</v>
      </c>
      <c r="K13" s="4" t="n">
        <v>0.63</v>
      </c>
      <c r="L13" s="4" t="n">
        <v>0.19</v>
      </c>
      <c r="M13" s="4" t="n">
        <v>-4.62</v>
      </c>
      <c r="N13" s="4" t="n">
        <v>-4.58</v>
      </c>
      <c r="O13" s="4" t="n">
        <v>-4.61</v>
      </c>
      <c r="P13" s="4" t="n">
        <v>-4.24</v>
      </c>
      <c r="Q13" s="4" t="n">
        <v>-3.98</v>
      </c>
      <c r="R13" s="4" t="n">
        <v>-4.42</v>
      </c>
    </row>
    <row r="14">
      <c r="A14" s="3" t="inlineStr">
        <is>
          <t>3LXK</t>
        </is>
      </c>
      <c r="B14" s="3" t="inlineStr">
        <is>
          <t>Tofacitinib</t>
        </is>
      </c>
      <c r="C14" s="3" t="inlineStr">
        <is>
          <t>JAK3</t>
        </is>
      </c>
      <c r="D14" s="3" t="n">
        <v>5</v>
      </c>
      <c r="E14" s="3" t="n">
        <v>5</v>
      </c>
      <c r="F14" s="3" t="n">
        <v>5</v>
      </c>
      <c r="G14" s="4" t="n">
        <v>0.03</v>
      </c>
      <c r="H14" s="4" t="n">
        <v>0.03</v>
      </c>
      <c r="I14" s="4" t="n">
        <v>0.03</v>
      </c>
      <c r="J14" s="4" t="n">
        <v>0.05</v>
      </c>
      <c r="K14" s="4" t="n">
        <v>0.04</v>
      </c>
      <c r="L14" s="4" t="n">
        <v>0.05</v>
      </c>
      <c r="M14" s="4" t="n">
        <v>1.14</v>
      </c>
      <c r="N14" s="4" t="n">
        <v>1.29</v>
      </c>
      <c r="O14" s="4" t="n">
        <v>1.1</v>
      </c>
      <c r="P14" s="4" t="n">
        <v>1.29</v>
      </c>
      <c r="Q14" s="4" t="n">
        <v>1.4</v>
      </c>
      <c r="R14" s="4" t="n">
        <v>1.22</v>
      </c>
    </row>
    <row r="15">
      <c r="A15" s="3" t="inlineStr">
        <is>
          <t>3PYY</t>
        </is>
      </c>
      <c r="B15" s="3" t="inlineStr">
        <is>
          <t>Imatinib</t>
        </is>
      </c>
      <c r="C15" s="3" t="inlineStr">
        <is>
          <t>ABL</t>
        </is>
      </c>
      <c r="D15" s="3" t="n">
        <v>5</v>
      </c>
      <c r="E15" s="3" t="n">
        <v>5</v>
      </c>
      <c r="F15" s="3" t="n">
        <v>5</v>
      </c>
      <c r="G15" s="4" t="n">
        <v>0.97</v>
      </c>
      <c r="H15" s="4" t="n">
        <v>0.97</v>
      </c>
      <c r="I15" s="4" t="n">
        <v>0.97</v>
      </c>
      <c r="J15" s="4" t="n">
        <v>1</v>
      </c>
      <c r="K15" s="4" t="n">
        <v>1</v>
      </c>
      <c r="L15" s="4" t="n">
        <v>1</v>
      </c>
      <c r="M15" s="4" t="n">
        <v>-4.8</v>
      </c>
      <c r="N15" s="4" t="n">
        <v>-4.81</v>
      </c>
      <c r="O15" s="4" t="n">
        <v>-4.81</v>
      </c>
      <c r="P15" s="4" t="n">
        <v>-3.84</v>
      </c>
      <c r="Q15" s="4" t="n">
        <v>-3.86</v>
      </c>
      <c r="R15" s="4" t="n">
        <v>-3.86</v>
      </c>
    </row>
    <row r="16">
      <c r="A16" s="3" t="inlineStr">
        <is>
          <t>3UE4</t>
        </is>
      </c>
      <c r="B16" s="3" t="inlineStr">
        <is>
          <t>Bosutinib</t>
        </is>
      </c>
      <c r="C16" s="3" t="inlineStr">
        <is>
          <t>ABL</t>
        </is>
      </c>
      <c r="D16" s="3" t="n">
        <v>4</v>
      </c>
      <c r="E16" s="3" t="n">
        <v>4</v>
      </c>
      <c r="F16" s="3" t="n">
        <v>4</v>
      </c>
      <c r="G16" s="4" t="n">
        <v>0.9399999999999999</v>
      </c>
      <c r="H16" s="4" t="n">
        <v>0.9399999999999999</v>
      </c>
      <c r="I16" s="4" t="n">
        <v>0.9399999999999999</v>
      </c>
      <c r="J16" s="4" t="n">
        <v>0.95</v>
      </c>
      <c r="K16" s="4" t="n">
        <v>0.95</v>
      </c>
      <c r="L16" s="4" t="n">
        <v>0.95</v>
      </c>
      <c r="M16" s="4" t="n">
        <v>-4.57</v>
      </c>
      <c r="N16" s="4" t="n">
        <v>-4.65</v>
      </c>
      <c r="O16" s="4" t="n">
        <v>-4.52</v>
      </c>
      <c r="P16" s="4" t="n">
        <v>-3.93</v>
      </c>
      <c r="Q16" s="4" t="n">
        <v>-4.01</v>
      </c>
      <c r="R16" s="4" t="n">
        <v>-3.88</v>
      </c>
    </row>
    <row r="17">
      <c r="A17" s="3" t="inlineStr">
        <is>
          <t>3UG2</t>
        </is>
      </c>
      <c r="B17" s="3" t="inlineStr">
        <is>
          <t>Gefitinib</t>
        </is>
      </c>
      <c r="C17" s="3" t="inlineStr">
        <is>
          <t>EGFR</t>
        </is>
      </c>
      <c r="D17" s="3" t="n">
        <v>5</v>
      </c>
      <c r="E17" s="3" t="n">
        <v>5</v>
      </c>
      <c r="F17" s="3" t="n">
        <v>5</v>
      </c>
      <c r="G17" s="4" t="n">
        <v>0.3</v>
      </c>
      <c r="H17" s="4" t="n">
        <v>0.3</v>
      </c>
      <c r="I17" s="4" t="n">
        <v>0.3</v>
      </c>
      <c r="J17" s="4" t="n">
        <v>0</v>
      </c>
      <c r="K17" s="4" t="n">
        <v>0.01</v>
      </c>
      <c r="L17" s="4" t="n">
        <v>0.01</v>
      </c>
      <c r="M17" s="4" t="n">
        <v>-2.99</v>
      </c>
      <c r="N17" s="4" t="n">
        <v>-3.03</v>
      </c>
      <c r="O17" s="4" t="n">
        <v>-3.01</v>
      </c>
      <c r="P17" s="4" t="n">
        <v>-2.95</v>
      </c>
      <c r="Q17" s="4" t="n">
        <v>-2.96</v>
      </c>
      <c r="R17" s="4" t="n">
        <v>-2.92</v>
      </c>
    </row>
    <row r="18">
      <c r="A18" s="3" t="inlineStr">
        <is>
          <t>3WZD</t>
        </is>
      </c>
      <c r="B18" s="3" t="inlineStr">
        <is>
          <t>Lenvatinib</t>
        </is>
      </c>
      <c r="C18" s="3" t="inlineStr">
        <is>
          <t>VGFR</t>
        </is>
      </c>
      <c r="D18" s="3" t="n">
        <v>3</v>
      </c>
      <c r="E18" s="3" t="n">
        <v>3</v>
      </c>
      <c r="F18" s="3" t="n">
        <v>3</v>
      </c>
      <c r="G18" s="4" t="n">
        <v>-0</v>
      </c>
      <c r="H18" s="4" t="n">
        <v>-0</v>
      </c>
      <c r="I18" s="4" t="n">
        <v>-0</v>
      </c>
      <c r="J18" s="4" t="n">
        <v>-0</v>
      </c>
      <c r="K18" s="4" t="n">
        <v>-0</v>
      </c>
      <c r="L18" s="4" t="n">
        <v>-0</v>
      </c>
      <c r="M18" s="4" t="n">
        <v>1.61</v>
      </c>
      <c r="N18" s="4" t="n">
        <v>1.54</v>
      </c>
      <c r="O18" s="4" t="n">
        <v>1.53</v>
      </c>
      <c r="P18" s="4" t="n">
        <v>1.63</v>
      </c>
      <c r="Q18" s="4" t="n">
        <v>1.57</v>
      </c>
      <c r="R18" s="4" t="n">
        <v>1.54</v>
      </c>
    </row>
    <row r="19">
      <c r="A19" s="3" t="inlineStr">
        <is>
          <t>3WZE</t>
        </is>
      </c>
      <c r="B19" s="3" t="inlineStr">
        <is>
          <t>Sorafenib</t>
        </is>
      </c>
      <c r="C19" s="3" t="inlineStr">
        <is>
          <t>VGFR</t>
        </is>
      </c>
      <c r="D19" s="3" t="n">
        <v>4</v>
      </c>
      <c r="E19" s="3" t="n">
        <v>4</v>
      </c>
      <c r="F19" s="3" t="n">
        <v>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5.58</v>
      </c>
      <c r="N19" s="4" t="n">
        <v>5.44</v>
      </c>
      <c r="O19" s="4" t="n">
        <v>5.51</v>
      </c>
      <c r="P19" s="4" t="n">
        <v>5.59</v>
      </c>
      <c r="Q19" s="4" t="n">
        <v>5.42</v>
      </c>
      <c r="R19" s="4" t="n">
        <v>5.5</v>
      </c>
    </row>
    <row r="20">
      <c r="A20" s="3" t="inlineStr">
        <is>
          <t>3ZOS</t>
        </is>
      </c>
      <c r="B20" s="3" t="inlineStr">
        <is>
          <t>Ponatinib</t>
        </is>
      </c>
      <c r="C20" s="3" t="inlineStr">
        <is>
          <t>DDR1</t>
        </is>
      </c>
      <c r="D20" s="3" t="n">
        <v>6</v>
      </c>
      <c r="E20" s="3" t="n">
        <v>6</v>
      </c>
      <c r="F20" s="3" t="n">
        <v>7</v>
      </c>
      <c r="G20" s="4" t="n">
        <v>0.96</v>
      </c>
      <c r="H20" s="4" t="n">
        <v>0.96</v>
      </c>
      <c r="I20" s="4" t="n">
        <v>0.96</v>
      </c>
      <c r="J20" s="4" t="n">
        <v>1</v>
      </c>
      <c r="K20" s="4" t="n">
        <v>1</v>
      </c>
      <c r="L20" s="4" t="n">
        <v>1</v>
      </c>
      <c r="M20" s="4" t="n">
        <v>-1.64</v>
      </c>
      <c r="N20" s="4" t="n">
        <v>-1.64</v>
      </c>
      <c r="O20" s="4" t="n">
        <v>-1.66</v>
      </c>
      <c r="P20" s="4" t="n">
        <v>0.21</v>
      </c>
      <c r="Q20" s="4" t="n">
        <v>0.21</v>
      </c>
      <c r="R20" s="4" t="n">
        <v>0.19</v>
      </c>
    </row>
    <row r="21">
      <c r="A21" s="3" t="inlineStr">
        <is>
          <t>4AG8</t>
        </is>
      </c>
      <c r="B21" s="3" t="inlineStr">
        <is>
          <t>Axitinib</t>
        </is>
      </c>
      <c r="C21" s="3" t="inlineStr">
        <is>
          <t>VGFR</t>
        </is>
      </c>
      <c r="D21" s="3" t="n">
        <v>4</v>
      </c>
      <c r="E21" s="3" t="n">
        <v>3</v>
      </c>
      <c r="F21" s="3" t="n">
        <v>3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4.59</v>
      </c>
      <c r="N21" s="4" t="n">
        <v>4.57</v>
      </c>
      <c r="O21" s="4" t="n">
        <v>4.58</v>
      </c>
      <c r="P21" s="4" t="n">
        <v>4.62</v>
      </c>
      <c r="Q21" s="4" t="n">
        <v>4.6</v>
      </c>
      <c r="R21" s="4" t="n">
        <v>4.62</v>
      </c>
    </row>
    <row r="22">
      <c r="A22" s="3" t="inlineStr">
        <is>
          <t>4AGC</t>
        </is>
      </c>
      <c r="B22" s="3" t="inlineStr">
        <is>
          <t>Axitinib</t>
        </is>
      </c>
      <c r="C22" s="3" t="inlineStr">
        <is>
          <t>VGFR</t>
        </is>
      </c>
      <c r="D22" s="3" t="n">
        <v>3</v>
      </c>
      <c r="E22" s="3" t="n">
        <v>3</v>
      </c>
      <c r="F22" s="3" t="n">
        <v>3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3.43</v>
      </c>
      <c r="N22" s="4" t="n">
        <v>3.55</v>
      </c>
      <c r="O22" s="4" t="n">
        <v>3.5</v>
      </c>
      <c r="P22" s="4" t="n">
        <v>3.45</v>
      </c>
      <c r="Q22" s="4" t="n">
        <v>3.55</v>
      </c>
      <c r="R22" s="4" t="n">
        <v>3.5</v>
      </c>
    </row>
    <row r="23">
      <c r="A23" s="3" t="inlineStr">
        <is>
          <t>4AGD</t>
        </is>
      </c>
      <c r="B23" s="3" t="inlineStr">
        <is>
          <t>Sunitinib</t>
        </is>
      </c>
      <c r="C23" s="3" t="inlineStr">
        <is>
          <t>VGFR</t>
        </is>
      </c>
      <c r="D23" s="3" t="n">
        <v>4</v>
      </c>
      <c r="E23" s="3" t="n">
        <v>5</v>
      </c>
      <c r="F23" s="3" t="n">
        <v>5</v>
      </c>
      <c r="G23" s="4" t="n">
        <v>0.99</v>
      </c>
      <c r="H23" s="4" t="n">
        <v>0.99</v>
      </c>
      <c r="I23" s="4" t="n">
        <v>0.99</v>
      </c>
      <c r="J23" s="4" t="n">
        <v>0.89</v>
      </c>
      <c r="K23" s="4" t="n">
        <v>0.92</v>
      </c>
      <c r="L23" s="4" t="n">
        <v>0.89</v>
      </c>
      <c r="M23" s="4" t="n">
        <v>2.53</v>
      </c>
      <c r="N23" s="4" t="n">
        <v>2.54</v>
      </c>
      <c r="O23" s="4" t="n">
        <v>2.53</v>
      </c>
      <c r="P23" s="4" t="n">
        <v>3.33</v>
      </c>
      <c r="Q23" s="4" t="n">
        <v>3.38</v>
      </c>
      <c r="R23" s="4" t="n">
        <v>3.31</v>
      </c>
    </row>
    <row r="24">
      <c r="A24" s="3" t="inlineStr">
        <is>
          <t>4AN2</t>
        </is>
      </c>
      <c r="B24" s="3" t="inlineStr">
        <is>
          <t>Cobimetinib</t>
        </is>
      </c>
      <c r="C24" s="3" t="inlineStr">
        <is>
          <t>MEK</t>
        </is>
      </c>
      <c r="D24" s="3" t="n">
        <v>7</v>
      </c>
      <c r="E24" s="3" t="n">
        <v>6</v>
      </c>
      <c r="F24" s="3" t="n">
        <v>6</v>
      </c>
      <c r="G24" s="4" t="n">
        <v>0.99</v>
      </c>
      <c r="H24" s="4" t="n">
        <v>0.99</v>
      </c>
      <c r="I24" s="4" t="n">
        <v>0.99</v>
      </c>
      <c r="J24" s="4" t="n">
        <v>0.23</v>
      </c>
      <c r="K24" s="4" t="n">
        <v>0.22</v>
      </c>
      <c r="L24" s="4" t="n">
        <v>0.22</v>
      </c>
      <c r="M24" s="4" t="n">
        <v>-3.47</v>
      </c>
      <c r="N24" s="4" t="n">
        <v>-3.53</v>
      </c>
      <c r="O24" s="4" t="n">
        <v>-3.55</v>
      </c>
      <c r="P24" s="4" t="n">
        <v>-3.41</v>
      </c>
      <c r="Q24" s="4" t="n">
        <v>-3.46</v>
      </c>
      <c r="R24" s="4" t="n">
        <v>-3.46</v>
      </c>
    </row>
    <row r="25">
      <c r="A25" s="3" t="inlineStr">
        <is>
          <t>4ANQ</t>
        </is>
      </c>
      <c r="B25" s="3" t="inlineStr">
        <is>
          <t>Crizotinib</t>
        </is>
      </c>
      <c r="C25" s="3" t="inlineStr">
        <is>
          <t>ALK</t>
        </is>
      </c>
      <c r="D25" s="3" t="n">
        <v>4</v>
      </c>
      <c r="E25" s="3" t="n">
        <v>4</v>
      </c>
      <c r="F25" s="3" t="n">
        <v>4</v>
      </c>
      <c r="G25" s="4" t="n">
        <v>1.61</v>
      </c>
      <c r="H25" s="4" t="n">
        <v>1.61</v>
      </c>
      <c r="I25" s="4" t="n">
        <v>1.61</v>
      </c>
      <c r="J25" s="4" t="n">
        <v>1</v>
      </c>
      <c r="K25" s="4" t="n">
        <v>1</v>
      </c>
      <c r="L25" s="4" t="n">
        <v>1</v>
      </c>
      <c r="M25" s="4" t="n">
        <v>-5.99</v>
      </c>
      <c r="N25" s="4" t="n">
        <v>-5.41</v>
      </c>
      <c r="O25" s="4" t="n">
        <v>-5.43</v>
      </c>
      <c r="P25" s="4" t="n">
        <v>-5.03</v>
      </c>
      <c r="Q25" s="4" t="n">
        <v>-4.46</v>
      </c>
      <c r="R25" s="4" t="n">
        <v>-4.49</v>
      </c>
    </row>
    <row r="26">
      <c r="A26" s="3" t="inlineStr">
        <is>
          <t>4ANS</t>
        </is>
      </c>
      <c r="B26" s="3" t="inlineStr">
        <is>
          <t>Crizotinib</t>
        </is>
      </c>
      <c r="C26" s="3" t="inlineStr">
        <is>
          <t>ALK</t>
        </is>
      </c>
      <c r="D26" s="3" t="n">
        <v>5</v>
      </c>
      <c r="E26" s="3" t="n">
        <v>4</v>
      </c>
      <c r="F26" s="3" t="n">
        <v>4</v>
      </c>
      <c r="G26" s="4" t="n">
        <v>1.61</v>
      </c>
      <c r="H26" s="4" t="n">
        <v>1.61</v>
      </c>
      <c r="I26" s="4" t="n">
        <v>1.61</v>
      </c>
      <c r="J26" s="4" t="n">
        <v>1</v>
      </c>
      <c r="K26" s="4" t="n">
        <v>1</v>
      </c>
      <c r="L26" s="4" t="n">
        <v>1</v>
      </c>
      <c r="M26" s="4" t="n">
        <v>-5.91</v>
      </c>
      <c r="N26" s="4" t="n">
        <v>-5.36</v>
      </c>
      <c r="O26" s="4" t="n">
        <v>-5.93</v>
      </c>
      <c r="P26" s="4" t="n">
        <v>-4.95</v>
      </c>
      <c r="Q26" s="4" t="n">
        <v>-4.41</v>
      </c>
      <c r="R26" s="4" t="n">
        <v>-4.99</v>
      </c>
    </row>
    <row r="27">
      <c r="A27" s="3" t="inlineStr">
        <is>
          <t>4ASD</t>
        </is>
      </c>
      <c r="B27" s="3" t="inlineStr">
        <is>
          <t>Sorafenib</t>
        </is>
      </c>
      <c r="C27" s="3" t="inlineStr">
        <is>
          <t>VGFR</t>
        </is>
      </c>
      <c r="D27" s="3" t="n">
        <v>4</v>
      </c>
      <c r="E27" s="3" t="n">
        <v>4</v>
      </c>
      <c r="F27" s="3" t="n">
        <v>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0.26</v>
      </c>
      <c r="N27" s="4" t="n">
        <v>0.12</v>
      </c>
      <c r="O27" s="4" t="n">
        <v>0.29</v>
      </c>
      <c r="P27" s="4" t="n">
        <v>0.28</v>
      </c>
      <c r="Q27" s="4" t="n">
        <v>0.12</v>
      </c>
      <c r="R27" s="4" t="n">
        <v>0.27</v>
      </c>
    </row>
    <row r="28">
      <c r="A28" s="3" t="inlineStr">
        <is>
          <t>4G5J</t>
        </is>
      </c>
      <c r="B28" s="3" t="inlineStr">
        <is>
          <t>Afatinib</t>
        </is>
      </c>
      <c r="C28" s="3" t="inlineStr">
        <is>
          <t>EGFR</t>
        </is>
      </c>
      <c r="D28" s="3" t="n">
        <v>3</v>
      </c>
      <c r="E28" s="3" t="n">
        <v>3</v>
      </c>
      <c r="F28" s="3" t="n">
        <v>3</v>
      </c>
      <c r="G28" s="4" t="n">
        <v>0.99</v>
      </c>
      <c r="H28" s="4" t="n">
        <v>0.99</v>
      </c>
      <c r="I28" s="4" t="n">
        <v>0.99</v>
      </c>
      <c r="J28" s="4" t="n">
        <v>0.95</v>
      </c>
      <c r="K28" s="4" t="n">
        <v>0.9399999999999999</v>
      </c>
      <c r="L28" s="4" t="n">
        <v>0.95</v>
      </c>
      <c r="M28" s="4" t="n">
        <v>-6.45</v>
      </c>
      <c r="N28" s="4" t="n">
        <v>-6.54</v>
      </c>
      <c r="O28" s="4" t="n">
        <v>-6.42</v>
      </c>
      <c r="P28" s="4" t="n">
        <v>-5.63</v>
      </c>
      <c r="Q28" s="4" t="n">
        <v>-5.69</v>
      </c>
      <c r="R28" s="4" t="n">
        <v>-5.64</v>
      </c>
    </row>
    <row r="29">
      <c r="A29" s="3" t="inlineStr">
        <is>
          <t>4G5P</t>
        </is>
      </c>
      <c r="B29" s="3" t="inlineStr">
        <is>
          <t>Afatinib</t>
        </is>
      </c>
      <c r="C29" s="3" t="inlineStr">
        <is>
          <t>EGFR</t>
        </is>
      </c>
      <c r="D29" s="3" t="n">
        <v>3</v>
      </c>
      <c r="E29" s="3" t="n">
        <v>3</v>
      </c>
      <c r="F29" s="3" t="n">
        <v>3</v>
      </c>
      <c r="G29" s="4" t="n">
        <v>0.99</v>
      </c>
      <c r="H29" s="4" t="n">
        <v>0.99</v>
      </c>
      <c r="I29" s="4" t="n">
        <v>0.99</v>
      </c>
      <c r="J29" s="4" t="n">
        <v>0.96</v>
      </c>
      <c r="K29" s="4" t="n">
        <v>0.96</v>
      </c>
      <c r="L29" s="4" t="n">
        <v>0.96</v>
      </c>
      <c r="M29" s="4" t="n">
        <v>-0.65</v>
      </c>
      <c r="N29" s="4" t="n">
        <v>-0.57</v>
      </c>
      <c r="O29" s="4" t="n">
        <v>-0.62</v>
      </c>
      <c r="P29" s="4" t="n">
        <v>0.01</v>
      </c>
      <c r="Q29" s="4" t="n">
        <v>0.05</v>
      </c>
      <c r="R29" s="4" t="n">
        <v>0.03</v>
      </c>
    </row>
    <row r="30">
      <c r="A30" s="3" t="inlineStr">
        <is>
          <t>4I22</t>
        </is>
      </c>
      <c r="B30" s="3" t="inlineStr">
        <is>
          <t>Gefitinib</t>
        </is>
      </c>
      <c r="C30" s="3" t="inlineStr">
        <is>
          <t>EGFR</t>
        </is>
      </c>
      <c r="D30" s="3" t="n">
        <v>5</v>
      </c>
      <c r="E30" s="3" t="n">
        <v>5</v>
      </c>
      <c r="F30" s="3" t="n">
        <v>5</v>
      </c>
      <c r="G30" s="4" t="n">
        <v>0.3</v>
      </c>
      <c r="H30" s="4" t="n">
        <v>0.3</v>
      </c>
      <c r="I30" s="4" t="n">
        <v>0.3</v>
      </c>
      <c r="J30" s="4" t="n">
        <v>0.48</v>
      </c>
      <c r="K30" s="4" t="n">
        <v>0.49</v>
      </c>
      <c r="L30" s="4" t="n">
        <v>0.52</v>
      </c>
      <c r="M30" s="4" t="n">
        <v>1.95</v>
      </c>
      <c r="N30" s="4" t="n">
        <v>1.91</v>
      </c>
      <c r="O30" s="4" t="n">
        <v>1.91</v>
      </c>
      <c r="P30" s="4" t="n">
        <v>2.41</v>
      </c>
      <c r="Q30" s="4" t="n">
        <v>2.3</v>
      </c>
      <c r="R30" s="4" t="n">
        <v>2.34</v>
      </c>
    </row>
    <row r="31">
      <c r="A31" s="3" t="inlineStr">
        <is>
          <t>4LMN</t>
        </is>
      </c>
      <c r="B31" s="3" t="inlineStr">
        <is>
          <t>Cobimetinib</t>
        </is>
      </c>
      <c r="C31" s="3" t="inlineStr">
        <is>
          <t>MEK</t>
        </is>
      </c>
      <c r="D31" s="3" t="n">
        <v>3</v>
      </c>
      <c r="E31" s="3" t="n">
        <v>3</v>
      </c>
      <c r="F31" s="3" t="n">
        <v>3</v>
      </c>
      <c r="G31" s="4" t="n">
        <v>0.99</v>
      </c>
      <c r="H31" s="4" t="n">
        <v>0.99</v>
      </c>
      <c r="I31" s="4" t="n">
        <v>0.99</v>
      </c>
      <c r="J31" s="4" t="n">
        <v>0.51</v>
      </c>
      <c r="K31" s="4" t="n">
        <v>0.53</v>
      </c>
      <c r="L31" s="4" t="n">
        <v>0.52</v>
      </c>
      <c r="M31" s="4" t="n">
        <v>-3.6</v>
      </c>
      <c r="N31" s="4" t="n">
        <v>-3.6</v>
      </c>
      <c r="O31" s="4" t="n">
        <v>-3.5</v>
      </c>
      <c r="P31" s="4" t="n">
        <v>-3.12</v>
      </c>
      <c r="Q31" s="4" t="n">
        <v>-3.07</v>
      </c>
      <c r="R31" s="4" t="n">
        <v>-2.98</v>
      </c>
    </row>
    <row r="32">
      <c r="A32" s="3" t="inlineStr">
        <is>
          <t>4MKC</t>
        </is>
      </c>
      <c r="B32" s="3" t="inlineStr">
        <is>
          <t>Ceritinib</t>
        </is>
      </c>
      <c r="C32" s="3" t="inlineStr">
        <is>
          <t>ALK</t>
        </is>
      </c>
      <c r="D32" s="3" t="n">
        <v>3</v>
      </c>
      <c r="E32" s="3" t="n">
        <v>3</v>
      </c>
      <c r="F32" s="3" t="n">
        <v>3</v>
      </c>
      <c r="G32" s="4" t="n">
        <v>1</v>
      </c>
      <c r="H32" s="4" t="n">
        <v>1</v>
      </c>
      <c r="I32" s="4" t="n">
        <v>1</v>
      </c>
      <c r="J32" s="4" t="n">
        <v>1</v>
      </c>
      <c r="K32" s="4" t="n">
        <v>1</v>
      </c>
      <c r="L32" s="4" t="n">
        <v>1</v>
      </c>
      <c r="M32" s="4" t="n">
        <v>-4.17</v>
      </c>
      <c r="N32" s="4" t="n">
        <v>-4.18</v>
      </c>
      <c r="O32" s="4" t="n">
        <v>-3.82</v>
      </c>
      <c r="P32" s="4" t="n">
        <v>-3.75</v>
      </c>
      <c r="Q32" s="4" t="n">
        <v>-3.78</v>
      </c>
      <c r="R32" s="4" t="n">
        <v>-3.43</v>
      </c>
    </row>
    <row r="33">
      <c r="A33" s="3" t="inlineStr">
        <is>
          <t>4WKQ</t>
        </is>
      </c>
      <c r="B33" s="3" t="inlineStr">
        <is>
          <t>Gefitinib</t>
        </is>
      </c>
      <c r="C33" s="3" t="inlineStr">
        <is>
          <t>EGFR</t>
        </is>
      </c>
      <c r="D33" s="3" t="n">
        <v>5</v>
      </c>
      <c r="E33" s="3" t="n">
        <v>5</v>
      </c>
      <c r="F33" s="3" t="n">
        <v>5</v>
      </c>
      <c r="G33" s="4" t="n">
        <v>0.3</v>
      </c>
      <c r="H33" s="4" t="n">
        <v>0.3</v>
      </c>
      <c r="I33" s="4" t="n">
        <v>0.3</v>
      </c>
      <c r="J33" s="4" t="n">
        <v>0.43</v>
      </c>
      <c r="K33" s="4" t="n">
        <v>0.49</v>
      </c>
      <c r="L33" s="4" t="n">
        <v>0.47</v>
      </c>
      <c r="M33" s="4" t="n">
        <v>-1.35</v>
      </c>
      <c r="N33" s="4" t="n">
        <v>-1.34</v>
      </c>
      <c r="O33" s="4" t="n">
        <v>-1.37</v>
      </c>
      <c r="P33" s="4" t="n">
        <v>-0.95</v>
      </c>
      <c r="Q33" s="4" t="n">
        <v>-0.83</v>
      </c>
      <c r="R33" s="4" t="n">
        <v>-0.91</v>
      </c>
    </row>
    <row r="34">
      <c r="A34" s="3" t="inlineStr">
        <is>
          <t>4ZAU</t>
        </is>
      </c>
      <c r="B34" s="3" t="inlineStr">
        <is>
          <t>Osimertinib</t>
        </is>
      </c>
      <c r="C34" s="3" t="inlineStr">
        <is>
          <t>EGFR</t>
        </is>
      </c>
      <c r="D34" s="3" t="n">
        <v>13</v>
      </c>
      <c r="E34" s="3" t="n">
        <v>13</v>
      </c>
      <c r="F34" s="3" t="n">
        <v>13</v>
      </c>
      <c r="G34" s="4" t="n">
        <v>0.98</v>
      </c>
      <c r="H34" s="4" t="n">
        <v>0.98</v>
      </c>
      <c r="I34" s="4" t="n">
        <v>0.98</v>
      </c>
      <c r="J34" s="4" t="n">
        <v>0.99</v>
      </c>
      <c r="K34" s="4" t="n">
        <v>0.99</v>
      </c>
      <c r="L34" s="4" t="n">
        <v>0.99</v>
      </c>
      <c r="M34" s="4" t="n">
        <v>-2.11</v>
      </c>
      <c r="N34" s="4" t="n">
        <v>-2.14</v>
      </c>
      <c r="O34" s="4" t="n">
        <v>-2.14</v>
      </c>
      <c r="P34" s="4" t="n">
        <v>-1.42</v>
      </c>
      <c r="Q34" s="4" t="n">
        <v>-1.46</v>
      </c>
      <c r="R34" s="4" t="n">
        <v>-1.47</v>
      </c>
    </row>
    <row r="35">
      <c r="A35" s="3" t="inlineStr">
        <is>
          <t>5AAA</t>
        </is>
      </c>
      <c r="B35" s="3" t="inlineStr">
        <is>
          <t>Crizotinib</t>
        </is>
      </c>
      <c r="C35" s="3" t="inlineStr">
        <is>
          <t>ALK</t>
        </is>
      </c>
      <c r="D35" s="3" t="n">
        <v>5</v>
      </c>
      <c r="E35" s="3" t="n">
        <v>4</v>
      </c>
      <c r="F35" s="3" t="n">
        <v>4</v>
      </c>
      <c r="G35" s="4" t="n">
        <v>1.61</v>
      </c>
      <c r="H35" s="4" t="n">
        <v>1.61</v>
      </c>
      <c r="I35" s="4" t="n">
        <v>1.61</v>
      </c>
      <c r="J35" s="4" t="n">
        <v>1</v>
      </c>
      <c r="K35" s="4" t="n">
        <v>1</v>
      </c>
      <c r="L35" s="4" t="n">
        <v>1</v>
      </c>
      <c r="M35" s="4" t="n">
        <v>-5.45</v>
      </c>
      <c r="N35" s="4" t="n">
        <v>-5.46</v>
      </c>
      <c r="O35" s="4" t="n">
        <v>-5.38</v>
      </c>
      <c r="P35" s="4" t="n">
        <v>-4.52</v>
      </c>
      <c r="Q35" s="4" t="n">
        <v>-4.49</v>
      </c>
      <c r="R35" s="4" t="n">
        <v>-4.44</v>
      </c>
    </row>
    <row r="36">
      <c r="A36" s="3" t="inlineStr">
        <is>
          <t>5AAB</t>
        </is>
      </c>
      <c r="B36" s="3" t="inlineStr">
        <is>
          <t>Crizotinib</t>
        </is>
      </c>
      <c r="C36" s="3" t="inlineStr">
        <is>
          <t>ALK</t>
        </is>
      </c>
      <c r="D36" s="3" t="n">
        <v>5</v>
      </c>
      <c r="E36" s="3" t="n">
        <v>4</v>
      </c>
      <c r="F36" s="3" t="n">
        <v>4</v>
      </c>
      <c r="G36" s="4" t="n">
        <v>1.61</v>
      </c>
      <c r="H36" s="4" t="n">
        <v>1.61</v>
      </c>
      <c r="I36" s="4" t="n">
        <v>1.61</v>
      </c>
      <c r="J36" s="4" t="n">
        <v>1</v>
      </c>
      <c r="K36" s="4" t="n">
        <v>1</v>
      </c>
      <c r="L36" s="4" t="n">
        <v>1</v>
      </c>
      <c r="M36" s="4" t="n">
        <v>-5.95</v>
      </c>
      <c r="N36" s="4" t="n">
        <v>-6.35</v>
      </c>
      <c r="O36" s="4" t="n">
        <v>-6.36</v>
      </c>
      <c r="P36" s="4" t="n">
        <v>-5.02</v>
      </c>
      <c r="Q36" s="4" t="n">
        <v>-5.41</v>
      </c>
      <c r="R36" s="4" t="n">
        <v>-5.42</v>
      </c>
    </row>
    <row r="37">
      <c r="A37" s="3" t="inlineStr">
        <is>
          <t>5AAC</t>
        </is>
      </c>
      <c r="B37" s="3" t="inlineStr">
        <is>
          <t>Crizotinib</t>
        </is>
      </c>
      <c r="C37" s="3" t="inlineStr">
        <is>
          <t>ALK</t>
        </is>
      </c>
      <c r="D37" s="3" t="n">
        <v>5</v>
      </c>
      <c r="E37" s="3" t="n">
        <v>4</v>
      </c>
      <c r="F37" s="3" t="n">
        <v>4</v>
      </c>
      <c r="G37" s="4" t="n">
        <v>1.61</v>
      </c>
      <c r="H37" s="4" t="n">
        <v>1.61</v>
      </c>
      <c r="I37" s="4" t="n">
        <v>1.61</v>
      </c>
      <c r="J37" s="4" t="n">
        <v>1</v>
      </c>
      <c r="K37" s="4" t="n">
        <v>1</v>
      </c>
      <c r="L37" s="4" t="n">
        <v>1</v>
      </c>
      <c r="M37" s="4" t="n">
        <v>-5.32</v>
      </c>
      <c r="N37" s="4" t="n">
        <v>-5.79</v>
      </c>
      <c r="O37" s="4" t="n">
        <v>-5.77</v>
      </c>
      <c r="P37" s="4" t="n">
        <v>-4.4</v>
      </c>
      <c r="Q37" s="4" t="n">
        <v>-4.87</v>
      </c>
      <c r="R37" s="4" t="n">
        <v>-4.86</v>
      </c>
    </row>
    <row r="38">
      <c r="A38" s="3" t="inlineStr">
        <is>
          <t>5L2I</t>
        </is>
      </c>
      <c r="B38" s="3" t="inlineStr">
        <is>
          <t>Palbociclib</t>
        </is>
      </c>
      <c r="C38" s="3" t="inlineStr">
        <is>
          <t>CDK6</t>
        </is>
      </c>
      <c r="D38" s="3" t="n">
        <v>2</v>
      </c>
      <c r="E38" s="3" t="n">
        <v>2</v>
      </c>
      <c r="F38" s="3" t="n">
        <v>2</v>
      </c>
      <c r="G38" s="4" t="n">
        <v>0.98</v>
      </c>
      <c r="H38" s="4" t="n">
        <v>0.98</v>
      </c>
      <c r="I38" s="4" t="n">
        <v>0.98</v>
      </c>
      <c r="J38" s="4" t="n">
        <v>0.99</v>
      </c>
      <c r="K38" s="4" t="n">
        <v>0.99</v>
      </c>
      <c r="L38" s="4" t="n">
        <v>0.99</v>
      </c>
      <c r="M38" s="4" t="n">
        <v>-0.19</v>
      </c>
      <c r="N38" s="4" t="n">
        <v>-0.21</v>
      </c>
      <c r="O38" s="4" t="n">
        <v>-0.3</v>
      </c>
      <c r="P38" s="4" t="n">
        <v>0.87</v>
      </c>
      <c r="Q38" s="4" t="n">
        <v>0.77</v>
      </c>
      <c r="R38" s="4" t="n">
        <v>0.71</v>
      </c>
    </row>
    <row r="39">
      <c r="A39" s="3" t="inlineStr">
        <is>
          <t>5MO4</t>
        </is>
      </c>
      <c r="B39" s="3" t="inlineStr">
        <is>
          <t>Nilotinib</t>
        </is>
      </c>
      <c r="C39" s="3" t="inlineStr">
        <is>
          <t>ABL</t>
        </is>
      </c>
      <c r="D39" s="3" t="n">
        <v>3</v>
      </c>
      <c r="E39" s="3" t="n">
        <v>3</v>
      </c>
      <c r="F39" s="3" t="n">
        <v>3</v>
      </c>
      <c r="G39" s="4" t="n">
        <v>0.09</v>
      </c>
      <c r="H39" s="4" t="n">
        <v>0.09</v>
      </c>
      <c r="I39" s="4" t="n">
        <v>0.09</v>
      </c>
      <c r="J39" s="4" t="n">
        <v>0.23</v>
      </c>
      <c r="K39" s="4" t="n">
        <v>0.23</v>
      </c>
      <c r="L39" s="4" t="n">
        <v>0.25</v>
      </c>
      <c r="M39" s="4" t="n">
        <v>-7.97</v>
      </c>
      <c r="N39" s="4" t="n">
        <v>-7.89</v>
      </c>
      <c r="O39" s="4" t="n">
        <v>-7.95</v>
      </c>
      <c r="P39" s="4" t="n">
        <v>-7.77</v>
      </c>
      <c r="Q39" s="4" t="n">
        <v>-7.66</v>
      </c>
      <c r="R39" s="4" t="n">
        <v>-7.71</v>
      </c>
    </row>
    <row r="41">
      <c r="A41" s="5" t="inlineStr">
        <is>
          <t>Source: xts_sum_crg.out (pH 7.4, entropy-corrected by xts_corr.py) in each trial's run_inhib / run_holo / run_apo; #conf from run_inhib/head3.lst. These are the workbook's only hardcoded values.</t>
        </is>
      </c>
    </row>
  </sheetData>
  <mergeCells count="5">
    <mergeCell ref="J1:L1"/>
    <mergeCell ref="P1:R1"/>
    <mergeCell ref="M1:O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6" t="inlineStr">
        <is>
          <t>Table 1 (Trials): inhibitor and kinase charge at pH 7.4, mean of 3 independent trials</t>
        </is>
      </c>
    </row>
    <row r="2">
      <c r="A2" s="5" t="inlineStr">
        <is>
          <t>Each value is the mean over the trials; ± columns are the standard error of the mean (SD/√n). See the Methods sheet.</t>
        </is>
      </c>
    </row>
    <row r="4">
      <c r="A4" s="1" t="inlineStr"/>
      <c r="B4" s="1" t="inlineStr"/>
      <c r="C4" s="1" t="inlineStr"/>
      <c r="D4" s="1" t="inlineStr">
        <is>
          <t>Ligand</t>
        </is>
      </c>
      <c r="K4" s="1" t="inlineStr">
        <is>
          <t>Apo-kinase</t>
        </is>
      </c>
      <c r="M4" s="1" t="inlineStr">
        <is>
          <t>Holo-kinase</t>
        </is>
      </c>
      <c r="O4" s="1" t="inlineStr">
        <is>
          <t>Holo-Apo</t>
        </is>
      </c>
    </row>
    <row r="5">
      <c r="A5" s="2" t="inlineStr">
        <is>
          <t>PDBID</t>
        </is>
      </c>
      <c r="B5" s="2" t="inlineStr">
        <is>
          <t>Ligand</t>
        </is>
      </c>
      <c r="C5" s="2" t="inlineStr">
        <is>
          <t>Kinase</t>
        </is>
      </c>
      <c r="D5" s="2" t="inlineStr">
        <is>
          <t>#conf</t>
        </is>
      </c>
      <c r="E5" s="2" t="inlineStr">
        <is>
          <t>crg soln</t>
        </is>
      </c>
      <c r="F5" s="2" t="inlineStr">
        <is>
          <t>± SEM</t>
        </is>
      </c>
      <c r="G5" s="2" t="inlineStr">
        <is>
          <t>crg bound</t>
        </is>
      </c>
      <c r="H5" s="2" t="inlineStr">
        <is>
          <t>± SEM</t>
        </is>
      </c>
      <c r="I5" s="2" t="inlineStr">
        <is>
          <t>∆crg</t>
        </is>
      </c>
      <c r="J5" s="2" t="inlineStr">
        <is>
          <t>± SEM</t>
        </is>
      </c>
      <c r="K5" s="2" t="inlineStr">
        <is>
          <t>charge</t>
        </is>
      </c>
      <c r="L5" s="2" t="inlineStr">
        <is>
          <t>± SEM</t>
        </is>
      </c>
      <c r="M5" s="2" t="inlineStr">
        <is>
          <t>charge</t>
        </is>
      </c>
      <c r="N5" s="2" t="inlineStr">
        <is>
          <t>± SEM</t>
        </is>
      </c>
      <c r="O5" s="2" t="inlineStr">
        <is>
          <t>∆crg</t>
        </is>
      </c>
      <c r="P5" s="2" t="inlineStr">
        <is>
          <t>± SEM</t>
        </is>
      </c>
    </row>
    <row r="6">
      <c r="A6" s="7" t="n"/>
      <c r="B6" s="8" t="inlineStr">
        <is>
          <t>ABL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3" t="inlineStr">
        <is>
          <t>3UE4</t>
        </is>
      </c>
      <c r="B7" s="3" t="inlineStr">
        <is>
          <t>Bosutinib</t>
        </is>
      </c>
      <c r="C7" s="3" t="inlineStr">
        <is>
          <t>ABL</t>
        </is>
      </c>
      <c r="D7" s="9">
        <f>AVERAGE('Per-Trial Data'!$D16:$F16)</f>
        <v/>
      </c>
      <c r="E7" s="4">
        <f>AVERAGE('Per-Trial Data'!$G16:$I16)</f>
        <v/>
      </c>
      <c r="F7" s="10">
        <f>IF(COUNT('Per-Trial Data'!$G16:$I16)&gt;1,STDEV('Per-Trial Data'!$G16:$I16)/SQRT(COUNT('Per-Trial Data'!$G16:$I16)),0)</f>
        <v/>
      </c>
      <c r="G7" s="4">
        <f>AVERAGE('Per-Trial Data'!$J16:$L16)</f>
        <v/>
      </c>
      <c r="H7" s="10">
        <f>IF(COUNT('Per-Trial Data'!$J16:$L16)&gt;1,STDEV('Per-Trial Data'!$J16:$L16)/SQRT(COUNT('Per-Trial Data'!$J16:$L16)),0)</f>
        <v/>
      </c>
      <c r="I7" s="4">
        <f>G7-E7</f>
        <v/>
      </c>
      <c r="J7" s="10">
        <f>SQRT(F7^2+H7^2)</f>
        <v/>
      </c>
      <c r="K7" s="4">
        <f>AVERAGE('Per-Trial Data'!$M16:$O16)</f>
        <v/>
      </c>
      <c r="L7" s="10">
        <f>IF(COUNT('Per-Trial Data'!$M16:$O16)&gt;1,STDEV('Per-Trial Data'!$M16:$O16)/SQRT(COUNT('Per-Trial Data'!$M16:$O16)),0)</f>
        <v/>
      </c>
      <c r="M7" s="4">
        <f>AVERAGE('Per-Trial Data'!$P16:$R16)</f>
        <v/>
      </c>
      <c r="N7" s="10">
        <f>IF(COUNT('Per-Trial Data'!$P16:$R16)&gt;1,STDEV('Per-Trial Data'!$P16:$R16)/SQRT(COUNT('Per-Trial Data'!$P16:$R16)),0)</f>
        <v/>
      </c>
      <c r="O7" s="4">
        <f>M7-K7</f>
        <v/>
      </c>
      <c r="P7" s="10">
        <f>SQRT(L7^2+N7^2)</f>
        <v/>
      </c>
    </row>
    <row r="8">
      <c r="A8" s="3" t="inlineStr">
        <is>
          <t>2HYY</t>
        </is>
      </c>
      <c r="B8" s="3" t="inlineStr">
        <is>
          <t>Imatinib</t>
        </is>
      </c>
      <c r="C8" s="3" t="inlineStr">
        <is>
          <t>ABL</t>
        </is>
      </c>
      <c r="D8" s="9">
        <f>AVERAGE('Per-Trial Data'!$D5:$F5)</f>
        <v/>
      </c>
      <c r="E8" s="4">
        <f>AVERAGE('Per-Trial Data'!$G5:$I5)</f>
        <v/>
      </c>
      <c r="F8" s="10">
        <f>IF(COUNT('Per-Trial Data'!$G5:$I5)&gt;1,STDEV('Per-Trial Data'!$G5:$I5)/SQRT(COUNT('Per-Trial Data'!$G5:$I5)),0)</f>
        <v/>
      </c>
      <c r="G8" s="4">
        <f>AVERAGE('Per-Trial Data'!$J5:$L5)</f>
        <v/>
      </c>
      <c r="H8" s="10">
        <f>IF(COUNT('Per-Trial Data'!$J5:$L5)&gt;1,STDEV('Per-Trial Data'!$J5:$L5)/SQRT(COUNT('Per-Trial Data'!$J5:$L5)),0)</f>
        <v/>
      </c>
      <c r="I8" s="4">
        <f>G8-E8</f>
        <v/>
      </c>
      <c r="J8" s="10">
        <f>SQRT(F8^2+H8^2)</f>
        <v/>
      </c>
      <c r="K8" s="4">
        <f>AVERAGE('Per-Trial Data'!$M5:$O5)</f>
        <v/>
      </c>
      <c r="L8" s="10">
        <f>IF(COUNT('Per-Trial Data'!$M5:$O5)&gt;1,STDEV('Per-Trial Data'!$M5:$O5)/SQRT(COUNT('Per-Trial Data'!$M5:$O5)),0)</f>
        <v/>
      </c>
      <c r="M8" s="4">
        <f>AVERAGE('Per-Trial Data'!$P5:$R5)</f>
        <v/>
      </c>
      <c r="N8" s="10">
        <f>IF(COUNT('Per-Trial Data'!$P5:$R5)&gt;1,STDEV('Per-Trial Data'!$P5:$R5)/SQRT(COUNT('Per-Trial Data'!$P5:$R5)),0)</f>
        <v/>
      </c>
      <c r="O8" s="4">
        <f>M8-K8</f>
        <v/>
      </c>
      <c r="P8" s="10">
        <f>SQRT(L8^2+N8^2)</f>
        <v/>
      </c>
    </row>
    <row r="9">
      <c r="A9" s="3" t="inlineStr">
        <is>
          <t>3PYY</t>
        </is>
      </c>
      <c r="B9" s="3" t="inlineStr">
        <is>
          <t>Imatinib</t>
        </is>
      </c>
      <c r="C9" s="3" t="inlineStr">
        <is>
          <t>ABL</t>
        </is>
      </c>
      <c r="D9" s="9">
        <f>AVERAGE('Per-Trial Data'!$D15:$F15)</f>
        <v/>
      </c>
      <c r="E9" s="4">
        <f>AVERAGE('Per-Trial Data'!$G15:$I15)</f>
        <v/>
      </c>
      <c r="F9" s="10">
        <f>IF(COUNT('Per-Trial Data'!$G15:$I15)&gt;1,STDEV('Per-Trial Data'!$G15:$I15)/SQRT(COUNT('Per-Trial Data'!$G15:$I15)),0)</f>
        <v/>
      </c>
      <c r="G9" s="4">
        <f>AVERAGE('Per-Trial Data'!$J15:$L15)</f>
        <v/>
      </c>
      <c r="H9" s="10">
        <f>IF(COUNT('Per-Trial Data'!$J15:$L15)&gt;1,STDEV('Per-Trial Data'!$J15:$L15)/SQRT(COUNT('Per-Trial Data'!$J15:$L15)),0)</f>
        <v/>
      </c>
      <c r="I9" s="4">
        <f>G9-E9</f>
        <v/>
      </c>
      <c r="J9" s="10">
        <f>SQRT(F9^2+H9^2)</f>
        <v/>
      </c>
      <c r="K9" s="4">
        <f>AVERAGE('Per-Trial Data'!$M15:$O15)</f>
        <v/>
      </c>
      <c r="L9" s="10">
        <f>IF(COUNT('Per-Trial Data'!$M15:$O15)&gt;1,STDEV('Per-Trial Data'!$M15:$O15)/SQRT(COUNT('Per-Trial Data'!$M15:$O15)),0)</f>
        <v/>
      </c>
      <c r="M9" s="4">
        <f>AVERAGE('Per-Trial Data'!$P15:$R15)</f>
        <v/>
      </c>
      <c r="N9" s="10">
        <f>IF(COUNT('Per-Trial Data'!$P15:$R15)&gt;1,STDEV('Per-Trial Data'!$P15:$R15)/SQRT(COUNT('Per-Trial Data'!$P15:$R15)),0)</f>
        <v/>
      </c>
      <c r="O9" s="4">
        <f>M9-K9</f>
        <v/>
      </c>
      <c r="P9" s="10">
        <f>SQRT(L9^2+N9^2)</f>
        <v/>
      </c>
    </row>
    <row r="10">
      <c r="A10" s="3" t="inlineStr">
        <is>
          <t>3CS9</t>
        </is>
      </c>
      <c r="B10" s="3" t="inlineStr">
        <is>
          <t>Nilotinib</t>
        </is>
      </c>
      <c r="C10" s="3" t="inlineStr">
        <is>
          <t>ABL</t>
        </is>
      </c>
      <c r="D10" s="9">
        <f>AVERAGE('Per-Trial Data'!$D13:$F13)</f>
        <v/>
      </c>
      <c r="E10" s="4">
        <f>AVERAGE('Per-Trial Data'!$G13:$I13)</f>
        <v/>
      </c>
      <c r="F10" s="10">
        <f>IF(COUNT('Per-Trial Data'!$G13:$I13)&gt;1,STDEV('Per-Trial Data'!$G13:$I13)/SQRT(COUNT('Per-Trial Data'!$G13:$I13)),0)</f>
        <v/>
      </c>
      <c r="G10" s="4">
        <f>AVERAGE('Per-Trial Data'!$J13:$L13)</f>
        <v/>
      </c>
      <c r="H10" s="10">
        <f>IF(COUNT('Per-Trial Data'!$J13:$L13)&gt;1,STDEV('Per-Trial Data'!$J13:$L13)/SQRT(COUNT('Per-Trial Data'!$J13:$L13)),0)</f>
        <v/>
      </c>
      <c r="I10" s="4">
        <f>G10-E10</f>
        <v/>
      </c>
      <c r="J10" s="10">
        <f>SQRT(F10^2+H10^2)</f>
        <v/>
      </c>
      <c r="K10" s="4">
        <f>AVERAGE('Per-Trial Data'!$M13:$O13)</f>
        <v/>
      </c>
      <c r="L10" s="10">
        <f>IF(COUNT('Per-Trial Data'!$M13:$O13)&gt;1,STDEV('Per-Trial Data'!$M13:$O13)/SQRT(COUNT('Per-Trial Data'!$M13:$O13)),0)</f>
        <v/>
      </c>
      <c r="M10" s="4">
        <f>AVERAGE('Per-Trial Data'!$P13:$R13)</f>
        <v/>
      </c>
      <c r="N10" s="10">
        <f>IF(COUNT('Per-Trial Data'!$P13:$R13)&gt;1,STDEV('Per-Trial Data'!$P13:$R13)/SQRT(COUNT('Per-Trial Data'!$P13:$R13)),0)</f>
        <v/>
      </c>
      <c r="O10" s="4">
        <f>M10-K10</f>
        <v/>
      </c>
      <c r="P10" s="10">
        <f>SQRT(L10^2+N10^2)</f>
        <v/>
      </c>
    </row>
    <row r="11">
      <c r="A11" s="3" t="inlineStr">
        <is>
          <t>5MO4</t>
        </is>
      </c>
      <c r="B11" s="3" t="inlineStr">
        <is>
          <t>Nilotinib</t>
        </is>
      </c>
      <c r="C11" s="3" t="inlineStr">
        <is>
          <t>ABL</t>
        </is>
      </c>
      <c r="D11" s="9">
        <f>AVERAGE('Per-Trial Data'!$D39:$F39)</f>
        <v/>
      </c>
      <c r="E11" s="4">
        <f>AVERAGE('Per-Trial Data'!$G39:$I39)</f>
        <v/>
      </c>
      <c r="F11" s="10">
        <f>IF(COUNT('Per-Trial Data'!$G39:$I39)&gt;1,STDEV('Per-Trial Data'!$G39:$I39)/SQRT(COUNT('Per-Trial Data'!$G39:$I39)),0)</f>
        <v/>
      </c>
      <c r="G11" s="4">
        <f>AVERAGE('Per-Trial Data'!$J39:$L39)</f>
        <v/>
      </c>
      <c r="H11" s="10">
        <f>IF(COUNT('Per-Trial Data'!$J39:$L39)&gt;1,STDEV('Per-Trial Data'!$J39:$L39)/SQRT(COUNT('Per-Trial Data'!$J39:$L39)),0)</f>
        <v/>
      </c>
      <c r="I11" s="4">
        <f>G11-E11</f>
        <v/>
      </c>
      <c r="J11" s="10">
        <f>SQRT(F11^2+H11^2)</f>
        <v/>
      </c>
      <c r="K11" s="4">
        <f>AVERAGE('Per-Trial Data'!$M39:$O39)</f>
        <v/>
      </c>
      <c r="L11" s="10">
        <f>IF(COUNT('Per-Trial Data'!$M39:$O39)&gt;1,STDEV('Per-Trial Data'!$M39:$O39)/SQRT(COUNT('Per-Trial Data'!$M39:$O39)),0)</f>
        <v/>
      </c>
      <c r="M11" s="4">
        <f>AVERAGE('Per-Trial Data'!$P39:$R39)</f>
        <v/>
      </c>
      <c r="N11" s="10">
        <f>IF(COUNT('Per-Trial Data'!$P39:$R39)&gt;1,STDEV('Per-Trial Data'!$P39:$R39)/SQRT(COUNT('Per-Trial Data'!$P39:$R39)),0)</f>
        <v/>
      </c>
      <c r="O11" s="4">
        <f>M11-K11</f>
        <v/>
      </c>
      <c r="P11" s="10">
        <f>SQRT(L11^2+N11^2)</f>
        <v/>
      </c>
    </row>
    <row r="12">
      <c r="A12" s="7" t="n"/>
      <c r="B12" s="8" t="inlineStr">
        <is>
          <t>ALK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3" t="inlineStr">
        <is>
          <t>3AOX</t>
        </is>
      </c>
      <c r="B13" s="3" t="inlineStr">
        <is>
          <t>Alectinib</t>
        </is>
      </c>
      <c r="C13" s="3" t="inlineStr">
        <is>
          <t>ALK</t>
        </is>
      </c>
      <c r="D13" s="9">
        <f>AVERAGE('Per-Trial Data'!$D12:$F12)</f>
        <v/>
      </c>
      <c r="E13" s="4">
        <f>AVERAGE('Per-Trial Data'!$G12:$I12)</f>
        <v/>
      </c>
      <c r="F13" s="10">
        <f>IF(COUNT('Per-Trial Data'!$G12:$I12)&gt;1,STDEV('Per-Trial Data'!$G12:$I12)/SQRT(COUNT('Per-Trial Data'!$G12:$I12)),0)</f>
        <v/>
      </c>
      <c r="G13" s="4">
        <f>AVERAGE('Per-Trial Data'!$J12:$L12)</f>
        <v/>
      </c>
      <c r="H13" s="10">
        <f>IF(COUNT('Per-Trial Data'!$J12:$L12)&gt;1,STDEV('Per-Trial Data'!$J12:$L12)/SQRT(COUNT('Per-Trial Data'!$J12:$L12)),0)</f>
        <v/>
      </c>
      <c r="I13" s="4">
        <f>G13-E13</f>
        <v/>
      </c>
      <c r="J13" s="10">
        <f>SQRT(F13^2+H13^2)</f>
        <v/>
      </c>
      <c r="K13" s="4">
        <f>AVERAGE('Per-Trial Data'!$M12:$O12)</f>
        <v/>
      </c>
      <c r="L13" s="10">
        <f>IF(COUNT('Per-Trial Data'!$M12:$O12)&gt;1,STDEV('Per-Trial Data'!$M12:$O12)/SQRT(COUNT('Per-Trial Data'!$M12:$O12)),0)</f>
        <v/>
      </c>
      <c r="M13" s="4">
        <f>AVERAGE('Per-Trial Data'!$P12:$R12)</f>
        <v/>
      </c>
      <c r="N13" s="10">
        <f>IF(COUNT('Per-Trial Data'!$P12:$R12)&gt;1,STDEV('Per-Trial Data'!$P12:$R12)/SQRT(COUNT('Per-Trial Data'!$P12:$R12)),0)</f>
        <v/>
      </c>
      <c r="O13" s="4">
        <f>M13-K13</f>
        <v/>
      </c>
      <c r="P13" s="10">
        <f>SQRT(L13^2+N13^2)</f>
        <v/>
      </c>
    </row>
    <row r="14">
      <c r="A14" s="3" t="inlineStr">
        <is>
          <t>4MKC</t>
        </is>
      </c>
      <c r="B14" s="3" t="inlineStr">
        <is>
          <t>Ceritinib</t>
        </is>
      </c>
      <c r="C14" s="3" t="inlineStr">
        <is>
          <t>ALK</t>
        </is>
      </c>
      <c r="D14" s="9">
        <f>AVERAGE('Per-Trial Data'!$D32:$F32)</f>
        <v/>
      </c>
      <c r="E14" s="4">
        <f>AVERAGE('Per-Trial Data'!$G32:$I32)</f>
        <v/>
      </c>
      <c r="F14" s="10">
        <f>IF(COUNT('Per-Trial Data'!$G32:$I32)&gt;1,STDEV('Per-Trial Data'!$G32:$I32)/SQRT(COUNT('Per-Trial Data'!$G32:$I32)),0)</f>
        <v/>
      </c>
      <c r="G14" s="4">
        <f>AVERAGE('Per-Trial Data'!$J32:$L32)</f>
        <v/>
      </c>
      <c r="H14" s="10">
        <f>IF(COUNT('Per-Trial Data'!$J32:$L32)&gt;1,STDEV('Per-Trial Data'!$J32:$L32)/SQRT(COUNT('Per-Trial Data'!$J32:$L32)),0)</f>
        <v/>
      </c>
      <c r="I14" s="4">
        <f>G14-E14</f>
        <v/>
      </c>
      <c r="J14" s="10">
        <f>SQRT(F14^2+H14^2)</f>
        <v/>
      </c>
      <c r="K14" s="4">
        <f>AVERAGE('Per-Trial Data'!$M32:$O32)</f>
        <v/>
      </c>
      <c r="L14" s="10">
        <f>IF(COUNT('Per-Trial Data'!$M32:$O32)&gt;1,STDEV('Per-Trial Data'!$M32:$O32)/SQRT(COUNT('Per-Trial Data'!$M32:$O32)),0)</f>
        <v/>
      </c>
      <c r="M14" s="4">
        <f>AVERAGE('Per-Trial Data'!$P32:$R32)</f>
        <v/>
      </c>
      <c r="N14" s="10">
        <f>IF(COUNT('Per-Trial Data'!$P32:$R32)&gt;1,STDEV('Per-Trial Data'!$P32:$R32)/SQRT(COUNT('Per-Trial Data'!$P32:$R32)),0)</f>
        <v/>
      </c>
      <c r="O14" s="4">
        <f>M14-K14</f>
        <v/>
      </c>
      <c r="P14" s="10">
        <f>SQRT(L14^2+N14^2)</f>
        <v/>
      </c>
    </row>
    <row r="15">
      <c r="A15" s="3" t="inlineStr">
        <is>
          <t>2XP2</t>
        </is>
      </c>
      <c r="B15" s="3" t="inlineStr">
        <is>
          <t>Crizotinib</t>
        </is>
      </c>
      <c r="C15" s="3" t="inlineStr">
        <is>
          <t>ALK</t>
        </is>
      </c>
      <c r="D15" s="9">
        <f>AVERAGE('Per-Trial Data'!$D10:$F10)</f>
        <v/>
      </c>
      <c r="E15" s="4">
        <f>AVERAGE('Per-Trial Data'!$G10:$I10)</f>
        <v/>
      </c>
      <c r="F15" s="10">
        <f>IF(COUNT('Per-Trial Data'!$G10:$I10)&gt;1,STDEV('Per-Trial Data'!$G10:$I10)/SQRT(COUNT('Per-Trial Data'!$G10:$I10)),0)</f>
        <v/>
      </c>
      <c r="G15" s="4">
        <f>AVERAGE('Per-Trial Data'!$J10:$L10)</f>
        <v/>
      </c>
      <c r="H15" s="10">
        <f>IF(COUNT('Per-Trial Data'!$J10:$L10)&gt;1,STDEV('Per-Trial Data'!$J10:$L10)/SQRT(COUNT('Per-Trial Data'!$J10:$L10)),0)</f>
        <v/>
      </c>
      <c r="I15" s="4">
        <f>G15-E15</f>
        <v/>
      </c>
      <c r="J15" s="10">
        <f>SQRT(F15^2+H15^2)</f>
        <v/>
      </c>
      <c r="K15" s="4">
        <f>AVERAGE('Per-Trial Data'!$M10:$O10)</f>
        <v/>
      </c>
      <c r="L15" s="10">
        <f>IF(COUNT('Per-Trial Data'!$M10:$O10)&gt;1,STDEV('Per-Trial Data'!$M10:$O10)/SQRT(COUNT('Per-Trial Data'!$M10:$O10)),0)</f>
        <v/>
      </c>
      <c r="M15" s="4">
        <f>AVERAGE('Per-Trial Data'!$P10:$R10)</f>
        <v/>
      </c>
      <c r="N15" s="10">
        <f>IF(COUNT('Per-Trial Data'!$P10:$R10)&gt;1,STDEV('Per-Trial Data'!$P10:$R10)/SQRT(COUNT('Per-Trial Data'!$P10:$R10)),0)</f>
        <v/>
      </c>
      <c r="O15" s="4">
        <f>M15-K15</f>
        <v/>
      </c>
      <c r="P15" s="10">
        <f>SQRT(L15^2+N15^2)</f>
        <v/>
      </c>
    </row>
    <row r="16">
      <c r="A16" s="3" t="inlineStr">
        <is>
          <t>2YFX</t>
        </is>
      </c>
      <c r="B16" s="3" t="inlineStr">
        <is>
          <t>Crizotinib</t>
        </is>
      </c>
      <c r="C16" s="3" t="inlineStr">
        <is>
          <t>ALK</t>
        </is>
      </c>
      <c r="D16" s="9">
        <f>AVERAGE('Per-Trial Data'!$D11:$F11)</f>
        <v/>
      </c>
      <c r="E16" s="4">
        <f>AVERAGE('Per-Trial Data'!$G11:$I11)</f>
        <v/>
      </c>
      <c r="F16" s="10">
        <f>IF(COUNT('Per-Trial Data'!$G11:$I11)&gt;1,STDEV('Per-Trial Data'!$G11:$I11)/SQRT(COUNT('Per-Trial Data'!$G11:$I11)),0)</f>
        <v/>
      </c>
      <c r="G16" s="4">
        <f>AVERAGE('Per-Trial Data'!$J11:$L11)</f>
        <v/>
      </c>
      <c r="H16" s="10">
        <f>IF(COUNT('Per-Trial Data'!$J11:$L11)&gt;1,STDEV('Per-Trial Data'!$J11:$L11)/SQRT(COUNT('Per-Trial Data'!$J11:$L11)),0)</f>
        <v/>
      </c>
      <c r="I16" s="4">
        <f>G16-E16</f>
        <v/>
      </c>
      <c r="J16" s="10">
        <f>SQRT(F16^2+H16^2)</f>
        <v/>
      </c>
      <c r="K16" s="4">
        <f>AVERAGE('Per-Trial Data'!$M11:$O11)</f>
        <v/>
      </c>
      <c r="L16" s="10">
        <f>IF(COUNT('Per-Trial Data'!$M11:$O11)&gt;1,STDEV('Per-Trial Data'!$M11:$O11)/SQRT(COUNT('Per-Trial Data'!$M11:$O11)),0)</f>
        <v/>
      </c>
      <c r="M16" s="4">
        <f>AVERAGE('Per-Trial Data'!$P11:$R11)</f>
        <v/>
      </c>
      <c r="N16" s="10">
        <f>IF(COUNT('Per-Trial Data'!$P11:$R11)&gt;1,STDEV('Per-Trial Data'!$P11:$R11)/SQRT(COUNT('Per-Trial Data'!$P11:$R11)),0)</f>
        <v/>
      </c>
      <c r="O16" s="4">
        <f>M16-K16</f>
        <v/>
      </c>
      <c r="P16" s="10">
        <f>SQRT(L16^2+N16^2)</f>
        <v/>
      </c>
    </row>
    <row r="17">
      <c r="A17" s="3" t="inlineStr">
        <is>
          <t>4ANQ</t>
        </is>
      </c>
      <c r="B17" s="3" t="inlineStr">
        <is>
          <t>Crizotinib</t>
        </is>
      </c>
      <c r="C17" s="3" t="inlineStr">
        <is>
          <t>ALK</t>
        </is>
      </c>
      <c r="D17" s="9">
        <f>AVERAGE('Per-Trial Data'!$D25:$F25)</f>
        <v/>
      </c>
      <c r="E17" s="4">
        <f>AVERAGE('Per-Trial Data'!$G25:$I25)</f>
        <v/>
      </c>
      <c r="F17" s="10">
        <f>IF(COUNT('Per-Trial Data'!$G25:$I25)&gt;1,STDEV('Per-Trial Data'!$G25:$I25)/SQRT(COUNT('Per-Trial Data'!$G25:$I25)),0)</f>
        <v/>
      </c>
      <c r="G17" s="4">
        <f>AVERAGE('Per-Trial Data'!$J25:$L25)</f>
        <v/>
      </c>
      <c r="H17" s="10">
        <f>IF(COUNT('Per-Trial Data'!$J25:$L25)&gt;1,STDEV('Per-Trial Data'!$J25:$L25)/SQRT(COUNT('Per-Trial Data'!$J25:$L25)),0)</f>
        <v/>
      </c>
      <c r="I17" s="4">
        <f>G17-E17</f>
        <v/>
      </c>
      <c r="J17" s="10">
        <f>SQRT(F17^2+H17^2)</f>
        <v/>
      </c>
      <c r="K17" s="4">
        <f>AVERAGE('Per-Trial Data'!$M25:$O25)</f>
        <v/>
      </c>
      <c r="L17" s="10">
        <f>IF(COUNT('Per-Trial Data'!$M25:$O25)&gt;1,STDEV('Per-Trial Data'!$M25:$O25)/SQRT(COUNT('Per-Trial Data'!$M25:$O25)),0)</f>
        <v/>
      </c>
      <c r="M17" s="4">
        <f>AVERAGE('Per-Trial Data'!$P25:$R25)</f>
        <v/>
      </c>
      <c r="N17" s="10">
        <f>IF(COUNT('Per-Trial Data'!$P25:$R25)&gt;1,STDEV('Per-Trial Data'!$P25:$R25)/SQRT(COUNT('Per-Trial Data'!$P25:$R25)),0)</f>
        <v/>
      </c>
      <c r="O17" s="4">
        <f>M17-K17</f>
        <v/>
      </c>
      <c r="P17" s="10">
        <f>SQRT(L17^2+N17^2)</f>
        <v/>
      </c>
    </row>
    <row r="18">
      <c r="A18" s="3" t="inlineStr">
        <is>
          <t>4ANS</t>
        </is>
      </c>
      <c r="B18" s="3" t="inlineStr">
        <is>
          <t>Crizotinib</t>
        </is>
      </c>
      <c r="C18" s="3" t="inlineStr">
        <is>
          <t>ALK</t>
        </is>
      </c>
      <c r="D18" s="9">
        <f>AVERAGE('Per-Trial Data'!$D26:$F26)</f>
        <v/>
      </c>
      <c r="E18" s="4">
        <f>AVERAGE('Per-Trial Data'!$G26:$I26)</f>
        <v/>
      </c>
      <c r="F18" s="10">
        <f>IF(COUNT('Per-Trial Data'!$G26:$I26)&gt;1,STDEV('Per-Trial Data'!$G26:$I26)/SQRT(COUNT('Per-Trial Data'!$G26:$I26)),0)</f>
        <v/>
      </c>
      <c r="G18" s="4">
        <f>AVERAGE('Per-Trial Data'!$J26:$L26)</f>
        <v/>
      </c>
      <c r="H18" s="10">
        <f>IF(COUNT('Per-Trial Data'!$J26:$L26)&gt;1,STDEV('Per-Trial Data'!$J26:$L26)/SQRT(COUNT('Per-Trial Data'!$J26:$L26)),0)</f>
        <v/>
      </c>
      <c r="I18" s="4">
        <f>G18-E18</f>
        <v/>
      </c>
      <c r="J18" s="10">
        <f>SQRT(F18^2+H18^2)</f>
        <v/>
      </c>
      <c r="K18" s="4">
        <f>AVERAGE('Per-Trial Data'!$M26:$O26)</f>
        <v/>
      </c>
      <c r="L18" s="10">
        <f>IF(COUNT('Per-Trial Data'!$M26:$O26)&gt;1,STDEV('Per-Trial Data'!$M26:$O26)/SQRT(COUNT('Per-Trial Data'!$M26:$O26)),0)</f>
        <v/>
      </c>
      <c r="M18" s="4">
        <f>AVERAGE('Per-Trial Data'!$P26:$R26)</f>
        <v/>
      </c>
      <c r="N18" s="10">
        <f>IF(COUNT('Per-Trial Data'!$P26:$R26)&gt;1,STDEV('Per-Trial Data'!$P26:$R26)/SQRT(COUNT('Per-Trial Data'!$P26:$R26)),0)</f>
        <v/>
      </c>
      <c r="O18" s="4">
        <f>M18-K18</f>
        <v/>
      </c>
      <c r="P18" s="10">
        <f>SQRT(L18^2+N18^2)</f>
        <v/>
      </c>
    </row>
    <row r="19">
      <c r="A19" s="3" t="inlineStr">
        <is>
          <t>5AAA</t>
        </is>
      </c>
      <c r="B19" s="3" t="inlineStr">
        <is>
          <t>Crizotinib</t>
        </is>
      </c>
      <c r="C19" s="3" t="inlineStr">
        <is>
          <t>ALK</t>
        </is>
      </c>
      <c r="D19" s="9">
        <f>AVERAGE('Per-Trial Data'!$D35:$F35)</f>
        <v/>
      </c>
      <c r="E19" s="4">
        <f>AVERAGE('Per-Trial Data'!$G35:$I35)</f>
        <v/>
      </c>
      <c r="F19" s="10">
        <f>IF(COUNT('Per-Trial Data'!$G35:$I35)&gt;1,STDEV('Per-Trial Data'!$G35:$I35)/SQRT(COUNT('Per-Trial Data'!$G35:$I35)),0)</f>
        <v/>
      </c>
      <c r="G19" s="4">
        <f>AVERAGE('Per-Trial Data'!$J35:$L35)</f>
        <v/>
      </c>
      <c r="H19" s="10">
        <f>IF(COUNT('Per-Trial Data'!$J35:$L35)&gt;1,STDEV('Per-Trial Data'!$J35:$L35)/SQRT(COUNT('Per-Trial Data'!$J35:$L35)),0)</f>
        <v/>
      </c>
      <c r="I19" s="4">
        <f>G19-E19</f>
        <v/>
      </c>
      <c r="J19" s="10">
        <f>SQRT(F19^2+H19^2)</f>
        <v/>
      </c>
      <c r="K19" s="4">
        <f>AVERAGE('Per-Trial Data'!$M35:$O35)</f>
        <v/>
      </c>
      <c r="L19" s="10">
        <f>IF(COUNT('Per-Trial Data'!$M35:$O35)&gt;1,STDEV('Per-Trial Data'!$M35:$O35)/SQRT(COUNT('Per-Trial Data'!$M35:$O35)),0)</f>
        <v/>
      </c>
      <c r="M19" s="4">
        <f>AVERAGE('Per-Trial Data'!$P35:$R35)</f>
        <v/>
      </c>
      <c r="N19" s="10">
        <f>IF(COUNT('Per-Trial Data'!$P35:$R35)&gt;1,STDEV('Per-Trial Data'!$P35:$R35)/SQRT(COUNT('Per-Trial Data'!$P35:$R35)),0)</f>
        <v/>
      </c>
      <c r="O19" s="4">
        <f>M19-K19</f>
        <v/>
      </c>
      <c r="P19" s="10">
        <f>SQRT(L19^2+N19^2)</f>
        <v/>
      </c>
    </row>
    <row r="20">
      <c r="A20" s="3" t="inlineStr">
        <is>
          <t>5AAB</t>
        </is>
      </c>
      <c r="B20" s="3" t="inlineStr">
        <is>
          <t>Crizotinib</t>
        </is>
      </c>
      <c r="C20" s="3" t="inlineStr">
        <is>
          <t>ALK</t>
        </is>
      </c>
      <c r="D20" s="9">
        <f>AVERAGE('Per-Trial Data'!$D36:$F36)</f>
        <v/>
      </c>
      <c r="E20" s="4">
        <f>AVERAGE('Per-Trial Data'!$G36:$I36)</f>
        <v/>
      </c>
      <c r="F20" s="10">
        <f>IF(COUNT('Per-Trial Data'!$G36:$I36)&gt;1,STDEV('Per-Trial Data'!$G36:$I36)/SQRT(COUNT('Per-Trial Data'!$G36:$I36)),0)</f>
        <v/>
      </c>
      <c r="G20" s="4">
        <f>AVERAGE('Per-Trial Data'!$J36:$L36)</f>
        <v/>
      </c>
      <c r="H20" s="10">
        <f>IF(COUNT('Per-Trial Data'!$J36:$L36)&gt;1,STDEV('Per-Trial Data'!$J36:$L36)/SQRT(COUNT('Per-Trial Data'!$J36:$L36)),0)</f>
        <v/>
      </c>
      <c r="I20" s="4">
        <f>G20-E20</f>
        <v/>
      </c>
      <c r="J20" s="10">
        <f>SQRT(F20^2+H20^2)</f>
        <v/>
      </c>
      <c r="K20" s="4">
        <f>AVERAGE('Per-Trial Data'!$M36:$O36)</f>
        <v/>
      </c>
      <c r="L20" s="10">
        <f>IF(COUNT('Per-Trial Data'!$M36:$O36)&gt;1,STDEV('Per-Trial Data'!$M36:$O36)/SQRT(COUNT('Per-Trial Data'!$M36:$O36)),0)</f>
        <v/>
      </c>
      <c r="M20" s="4">
        <f>AVERAGE('Per-Trial Data'!$P36:$R36)</f>
        <v/>
      </c>
      <c r="N20" s="10">
        <f>IF(COUNT('Per-Trial Data'!$P36:$R36)&gt;1,STDEV('Per-Trial Data'!$P36:$R36)/SQRT(COUNT('Per-Trial Data'!$P36:$R36)),0)</f>
        <v/>
      </c>
      <c r="O20" s="4">
        <f>M20-K20</f>
        <v/>
      </c>
      <c r="P20" s="10">
        <f>SQRT(L20^2+N20^2)</f>
        <v/>
      </c>
    </row>
    <row r="21">
      <c r="A21" s="3" t="inlineStr">
        <is>
          <t>5AAC</t>
        </is>
      </c>
      <c r="B21" s="3" t="inlineStr">
        <is>
          <t>Crizotinib</t>
        </is>
      </c>
      <c r="C21" s="3" t="inlineStr">
        <is>
          <t>ALK</t>
        </is>
      </c>
      <c r="D21" s="9">
        <f>AVERAGE('Per-Trial Data'!$D37:$F37)</f>
        <v/>
      </c>
      <c r="E21" s="4">
        <f>AVERAGE('Per-Trial Data'!$G37:$I37)</f>
        <v/>
      </c>
      <c r="F21" s="10">
        <f>IF(COUNT('Per-Trial Data'!$G37:$I37)&gt;1,STDEV('Per-Trial Data'!$G37:$I37)/SQRT(COUNT('Per-Trial Data'!$G37:$I37)),0)</f>
        <v/>
      </c>
      <c r="G21" s="4">
        <f>AVERAGE('Per-Trial Data'!$J37:$L37)</f>
        <v/>
      </c>
      <c r="H21" s="10">
        <f>IF(COUNT('Per-Trial Data'!$J37:$L37)&gt;1,STDEV('Per-Trial Data'!$J37:$L37)/SQRT(COUNT('Per-Trial Data'!$J37:$L37)),0)</f>
        <v/>
      </c>
      <c r="I21" s="4">
        <f>G21-E21</f>
        <v/>
      </c>
      <c r="J21" s="10">
        <f>SQRT(F21^2+H21^2)</f>
        <v/>
      </c>
      <c r="K21" s="4">
        <f>AVERAGE('Per-Trial Data'!$M37:$O37)</f>
        <v/>
      </c>
      <c r="L21" s="10">
        <f>IF(COUNT('Per-Trial Data'!$M37:$O37)&gt;1,STDEV('Per-Trial Data'!$M37:$O37)/SQRT(COUNT('Per-Trial Data'!$M37:$O37)),0)</f>
        <v/>
      </c>
      <c r="M21" s="4">
        <f>AVERAGE('Per-Trial Data'!$P37:$R37)</f>
        <v/>
      </c>
      <c r="N21" s="10">
        <f>IF(COUNT('Per-Trial Data'!$P37:$R37)&gt;1,STDEV('Per-Trial Data'!$P37:$R37)/SQRT(COUNT('Per-Trial Data'!$P37:$R37)),0)</f>
        <v/>
      </c>
      <c r="O21" s="4">
        <f>M21-K21</f>
        <v/>
      </c>
      <c r="P21" s="10">
        <f>SQRT(L21^2+N21^2)</f>
        <v/>
      </c>
    </row>
    <row r="22">
      <c r="A22" s="7" t="n"/>
      <c r="B22" s="8" t="inlineStr">
        <is>
          <t>CDK6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3" t="inlineStr">
        <is>
          <t>2EUF</t>
        </is>
      </c>
      <c r="B23" s="3" t="inlineStr">
        <is>
          <t>Palbociclib</t>
        </is>
      </c>
      <c r="C23" s="3" t="inlineStr">
        <is>
          <t>CDK6</t>
        </is>
      </c>
      <c r="D23" s="9">
        <f>AVERAGE('Per-Trial Data'!$D4:$F4)</f>
        <v/>
      </c>
      <c r="E23" s="4">
        <f>AVERAGE('Per-Trial Data'!$G4:$I4)</f>
        <v/>
      </c>
      <c r="F23" s="10">
        <f>IF(COUNT('Per-Trial Data'!$G4:$I4)&gt;1,STDEV('Per-Trial Data'!$G4:$I4)/SQRT(COUNT('Per-Trial Data'!$G4:$I4)),0)</f>
        <v/>
      </c>
      <c r="G23" s="4">
        <f>AVERAGE('Per-Trial Data'!$J4:$L4)</f>
        <v/>
      </c>
      <c r="H23" s="10">
        <f>IF(COUNT('Per-Trial Data'!$J4:$L4)&gt;1,STDEV('Per-Trial Data'!$J4:$L4)/SQRT(COUNT('Per-Trial Data'!$J4:$L4)),0)</f>
        <v/>
      </c>
      <c r="I23" s="4">
        <f>G23-E23</f>
        <v/>
      </c>
      <c r="J23" s="10">
        <f>SQRT(F23^2+H23^2)</f>
        <v/>
      </c>
      <c r="K23" s="4">
        <f>AVERAGE('Per-Trial Data'!$M4:$O4)</f>
        <v/>
      </c>
      <c r="L23" s="10">
        <f>IF(COUNT('Per-Trial Data'!$M4:$O4)&gt;1,STDEV('Per-Trial Data'!$M4:$O4)/SQRT(COUNT('Per-Trial Data'!$M4:$O4)),0)</f>
        <v/>
      </c>
      <c r="M23" s="4">
        <f>AVERAGE('Per-Trial Data'!$P4:$R4)</f>
        <v/>
      </c>
      <c r="N23" s="10">
        <f>IF(COUNT('Per-Trial Data'!$P4:$R4)&gt;1,STDEV('Per-Trial Data'!$P4:$R4)/SQRT(COUNT('Per-Trial Data'!$P4:$R4)),0)</f>
        <v/>
      </c>
      <c r="O23" s="4">
        <f>M23-K23</f>
        <v/>
      </c>
      <c r="P23" s="10">
        <f>SQRT(L23^2+N23^2)</f>
        <v/>
      </c>
    </row>
    <row r="24">
      <c r="A24" s="3" t="inlineStr">
        <is>
          <t>5L2I</t>
        </is>
      </c>
      <c r="B24" s="3" t="inlineStr">
        <is>
          <t>Palbociclib</t>
        </is>
      </c>
      <c r="C24" s="3" t="inlineStr">
        <is>
          <t>CDK6</t>
        </is>
      </c>
      <c r="D24" s="9">
        <f>AVERAGE('Per-Trial Data'!$D38:$F38)</f>
        <v/>
      </c>
      <c r="E24" s="4">
        <f>AVERAGE('Per-Trial Data'!$G38:$I38)</f>
        <v/>
      </c>
      <c r="F24" s="10">
        <f>IF(COUNT('Per-Trial Data'!$G38:$I38)&gt;1,STDEV('Per-Trial Data'!$G38:$I38)/SQRT(COUNT('Per-Trial Data'!$G38:$I38)),0)</f>
        <v/>
      </c>
      <c r="G24" s="4">
        <f>AVERAGE('Per-Trial Data'!$J38:$L38)</f>
        <v/>
      </c>
      <c r="H24" s="10">
        <f>IF(COUNT('Per-Trial Data'!$J38:$L38)&gt;1,STDEV('Per-Trial Data'!$J38:$L38)/SQRT(COUNT('Per-Trial Data'!$J38:$L38)),0)</f>
        <v/>
      </c>
      <c r="I24" s="4">
        <f>G24-E24</f>
        <v/>
      </c>
      <c r="J24" s="10">
        <f>SQRT(F24^2+H24^2)</f>
        <v/>
      </c>
      <c r="K24" s="4">
        <f>AVERAGE('Per-Trial Data'!$M38:$O38)</f>
        <v/>
      </c>
      <c r="L24" s="10">
        <f>IF(COUNT('Per-Trial Data'!$M38:$O38)&gt;1,STDEV('Per-Trial Data'!$M38:$O38)/SQRT(COUNT('Per-Trial Data'!$M38:$O38)),0)</f>
        <v/>
      </c>
      <c r="M24" s="4">
        <f>AVERAGE('Per-Trial Data'!$P38:$R38)</f>
        <v/>
      </c>
      <c r="N24" s="10">
        <f>IF(COUNT('Per-Trial Data'!$P38:$R38)&gt;1,STDEV('Per-Trial Data'!$P38:$R38)/SQRT(COUNT('Per-Trial Data'!$P38:$R38)),0)</f>
        <v/>
      </c>
      <c r="O24" s="4">
        <f>M24-K24</f>
        <v/>
      </c>
      <c r="P24" s="10">
        <f>SQRT(L24^2+N24^2)</f>
        <v/>
      </c>
    </row>
    <row r="25">
      <c r="A25" s="7" t="n"/>
      <c r="B25" s="8" t="inlineStr">
        <is>
          <t>DDR1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3" t="inlineStr">
        <is>
          <t>3ZOS</t>
        </is>
      </c>
      <c r="B26" s="3" t="inlineStr">
        <is>
          <t>Ponatinib</t>
        </is>
      </c>
      <c r="C26" s="3" t="inlineStr">
        <is>
          <t>DDR1</t>
        </is>
      </c>
      <c r="D26" s="9">
        <f>AVERAGE('Per-Trial Data'!$D20:$F20)</f>
        <v/>
      </c>
      <c r="E26" s="4">
        <f>AVERAGE('Per-Trial Data'!$G20:$I20)</f>
        <v/>
      </c>
      <c r="F26" s="10">
        <f>IF(COUNT('Per-Trial Data'!$G20:$I20)&gt;1,STDEV('Per-Trial Data'!$G20:$I20)/SQRT(COUNT('Per-Trial Data'!$G20:$I20)),0)</f>
        <v/>
      </c>
      <c r="G26" s="4">
        <f>AVERAGE('Per-Trial Data'!$J20:$L20)</f>
        <v/>
      </c>
      <c r="H26" s="10">
        <f>IF(COUNT('Per-Trial Data'!$J20:$L20)&gt;1,STDEV('Per-Trial Data'!$J20:$L20)/SQRT(COUNT('Per-Trial Data'!$J20:$L20)),0)</f>
        <v/>
      </c>
      <c r="I26" s="4">
        <f>G26-E26</f>
        <v/>
      </c>
      <c r="J26" s="10">
        <f>SQRT(F26^2+H26^2)</f>
        <v/>
      </c>
      <c r="K26" s="4">
        <f>AVERAGE('Per-Trial Data'!$M20:$O20)</f>
        <v/>
      </c>
      <c r="L26" s="10">
        <f>IF(COUNT('Per-Trial Data'!$M20:$O20)&gt;1,STDEV('Per-Trial Data'!$M20:$O20)/SQRT(COUNT('Per-Trial Data'!$M20:$O20)),0)</f>
        <v/>
      </c>
      <c r="M26" s="4">
        <f>AVERAGE('Per-Trial Data'!$P20:$R20)</f>
        <v/>
      </c>
      <c r="N26" s="10">
        <f>IF(COUNT('Per-Trial Data'!$P20:$R20)&gt;1,STDEV('Per-Trial Data'!$P20:$R20)/SQRT(COUNT('Per-Trial Data'!$P20:$R20)),0)</f>
        <v/>
      </c>
      <c r="O26" s="4">
        <f>M26-K26</f>
        <v/>
      </c>
      <c r="P26" s="10">
        <f>SQRT(L26^2+N26^2)</f>
        <v/>
      </c>
    </row>
    <row r="27">
      <c r="A27" s="7" t="n"/>
      <c r="B27" s="8" t="inlineStr">
        <is>
          <t>EGFR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3" t="inlineStr">
        <is>
          <t>4G5J</t>
        </is>
      </c>
      <c r="B28" s="3" t="inlineStr">
        <is>
          <t>Afatinib</t>
        </is>
      </c>
      <c r="C28" s="3" t="inlineStr">
        <is>
          <t>EGFR</t>
        </is>
      </c>
      <c r="D28" s="9">
        <f>AVERAGE('Per-Trial Data'!$D28:$F28)</f>
        <v/>
      </c>
      <c r="E28" s="4">
        <f>AVERAGE('Per-Trial Data'!$G28:$I28)</f>
        <v/>
      </c>
      <c r="F28" s="10">
        <f>IF(COUNT('Per-Trial Data'!$G28:$I28)&gt;1,STDEV('Per-Trial Data'!$G28:$I28)/SQRT(COUNT('Per-Trial Data'!$G28:$I28)),0)</f>
        <v/>
      </c>
      <c r="G28" s="4">
        <f>AVERAGE('Per-Trial Data'!$J28:$L28)</f>
        <v/>
      </c>
      <c r="H28" s="10">
        <f>IF(COUNT('Per-Trial Data'!$J28:$L28)&gt;1,STDEV('Per-Trial Data'!$J28:$L28)/SQRT(COUNT('Per-Trial Data'!$J28:$L28)),0)</f>
        <v/>
      </c>
      <c r="I28" s="4">
        <f>G28-E28</f>
        <v/>
      </c>
      <c r="J28" s="10">
        <f>SQRT(F28^2+H28^2)</f>
        <v/>
      </c>
      <c r="K28" s="4">
        <f>AVERAGE('Per-Trial Data'!$M28:$O28)</f>
        <v/>
      </c>
      <c r="L28" s="10">
        <f>IF(COUNT('Per-Trial Data'!$M28:$O28)&gt;1,STDEV('Per-Trial Data'!$M28:$O28)/SQRT(COUNT('Per-Trial Data'!$M28:$O28)),0)</f>
        <v/>
      </c>
      <c r="M28" s="4">
        <f>AVERAGE('Per-Trial Data'!$P28:$R28)</f>
        <v/>
      </c>
      <c r="N28" s="10">
        <f>IF(COUNT('Per-Trial Data'!$P28:$R28)&gt;1,STDEV('Per-Trial Data'!$P28:$R28)/SQRT(COUNT('Per-Trial Data'!$P28:$R28)),0)</f>
        <v/>
      </c>
      <c r="O28" s="4">
        <f>M28-K28</f>
        <v/>
      </c>
      <c r="P28" s="10">
        <f>SQRT(L28^2+N28^2)</f>
        <v/>
      </c>
    </row>
    <row r="29">
      <c r="A29" s="3" t="inlineStr">
        <is>
          <t>4G5P</t>
        </is>
      </c>
      <c r="B29" s="3" t="inlineStr">
        <is>
          <t>Afatinib</t>
        </is>
      </c>
      <c r="C29" s="3" t="inlineStr">
        <is>
          <t>EGFR</t>
        </is>
      </c>
      <c r="D29" s="9">
        <f>AVERAGE('Per-Trial Data'!$D29:$F29)</f>
        <v/>
      </c>
      <c r="E29" s="4">
        <f>AVERAGE('Per-Trial Data'!$G29:$I29)</f>
        <v/>
      </c>
      <c r="F29" s="10">
        <f>IF(COUNT('Per-Trial Data'!$G29:$I29)&gt;1,STDEV('Per-Trial Data'!$G29:$I29)/SQRT(COUNT('Per-Trial Data'!$G29:$I29)),0)</f>
        <v/>
      </c>
      <c r="G29" s="4">
        <f>AVERAGE('Per-Trial Data'!$J29:$L29)</f>
        <v/>
      </c>
      <c r="H29" s="10">
        <f>IF(COUNT('Per-Trial Data'!$J29:$L29)&gt;1,STDEV('Per-Trial Data'!$J29:$L29)/SQRT(COUNT('Per-Trial Data'!$J29:$L29)),0)</f>
        <v/>
      </c>
      <c r="I29" s="4">
        <f>G29-E29</f>
        <v/>
      </c>
      <c r="J29" s="10">
        <f>SQRT(F29^2+H29^2)</f>
        <v/>
      </c>
      <c r="K29" s="4">
        <f>AVERAGE('Per-Trial Data'!$M29:$O29)</f>
        <v/>
      </c>
      <c r="L29" s="10">
        <f>IF(COUNT('Per-Trial Data'!$M29:$O29)&gt;1,STDEV('Per-Trial Data'!$M29:$O29)/SQRT(COUNT('Per-Trial Data'!$M29:$O29)),0)</f>
        <v/>
      </c>
      <c r="M29" s="4">
        <f>AVERAGE('Per-Trial Data'!$P29:$R29)</f>
        <v/>
      </c>
      <c r="N29" s="10">
        <f>IF(COUNT('Per-Trial Data'!$P29:$R29)&gt;1,STDEV('Per-Trial Data'!$P29:$R29)/SQRT(COUNT('Per-Trial Data'!$P29:$R29)),0)</f>
        <v/>
      </c>
      <c r="O29" s="4">
        <f>M29-K29</f>
        <v/>
      </c>
      <c r="P29" s="10">
        <f>SQRT(L29^2+N29^2)</f>
        <v/>
      </c>
    </row>
    <row r="30">
      <c r="A30" s="3" t="inlineStr">
        <is>
          <t>2ITO</t>
        </is>
      </c>
      <c r="B30" s="3" t="inlineStr">
        <is>
          <t>Gefitinib</t>
        </is>
      </c>
      <c r="C30" s="3" t="inlineStr">
        <is>
          <t>EGFR</t>
        </is>
      </c>
      <c r="D30" s="9">
        <f>AVERAGE('Per-Trial Data'!$D6:$F6)</f>
        <v/>
      </c>
      <c r="E30" s="4">
        <f>AVERAGE('Per-Trial Data'!$G6:$I6)</f>
        <v/>
      </c>
      <c r="F30" s="10">
        <f>IF(COUNT('Per-Trial Data'!$G6:$I6)&gt;1,STDEV('Per-Trial Data'!$G6:$I6)/SQRT(COUNT('Per-Trial Data'!$G6:$I6)),0)</f>
        <v/>
      </c>
      <c r="G30" s="4">
        <f>AVERAGE('Per-Trial Data'!$J6:$L6)</f>
        <v/>
      </c>
      <c r="H30" s="10">
        <f>IF(COUNT('Per-Trial Data'!$J6:$L6)&gt;1,STDEV('Per-Trial Data'!$J6:$L6)/SQRT(COUNT('Per-Trial Data'!$J6:$L6)),0)</f>
        <v/>
      </c>
      <c r="I30" s="4">
        <f>G30-E30</f>
        <v/>
      </c>
      <c r="J30" s="10">
        <f>SQRT(F30^2+H30^2)</f>
        <v/>
      </c>
      <c r="K30" s="4">
        <f>AVERAGE('Per-Trial Data'!$M6:$O6)</f>
        <v/>
      </c>
      <c r="L30" s="10">
        <f>IF(COUNT('Per-Trial Data'!$M6:$O6)&gt;1,STDEV('Per-Trial Data'!$M6:$O6)/SQRT(COUNT('Per-Trial Data'!$M6:$O6)),0)</f>
        <v/>
      </c>
      <c r="M30" s="4">
        <f>AVERAGE('Per-Trial Data'!$P6:$R6)</f>
        <v/>
      </c>
      <c r="N30" s="10">
        <f>IF(COUNT('Per-Trial Data'!$P6:$R6)&gt;1,STDEV('Per-Trial Data'!$P6:$R6)/SQRT(COUNT('Per-Trial Data'!$P6:$R6)),0)</f>
        <v/>
      </c>
      <c r="O30" s="4">
        <f>M30-K30</f>
        <v/>
      </c>
      <c r="P30" s="10">
        <f>SQRT(L30^2+N30^2)</f>
        <v/>
      </c>
    </row>
    <row r="31">
      <c r="A31" s="3" t="inlineStr">
        <is>
          <t>2ITY</t>
        </is>
      </c>
      <c r="B31" s="3" t="inlineStr">
        <is>
          <t>Gefitinib</t>
        </is>
      </c>
      <c r="C31" s="3" t="inlineStr">
        <is>
          <t>EGFR</t>
        </is>
      </c>
      <c r="D31" s="9">
        <f>AVERAGE('Per-Trial Data'!$D7:$F7)</f>
        <v/>
      </c>
      <c r="E31" s="4">
        <f>AVERAGE('Per-Trial Data'!$G7:$I7)</f>
        <v/>
      </c>
      <c r="F31" s="10">
        <f>IF(COUNT('Per-Trial Data'!$G7:$I7)&gt;1,STDEV('Per-Trial Data'!$G7:$I7)/SQRT(COUNT('Per-Trial Data'!$G7:$I7)),0)</f>
        <v/>
      </c>
      <c r="G31" s="4">
        <f>AVERAGE('Per-Trial Data'!$J7:$L7)</f>
        <v/>
      </c>
      <c r="H31" s="10">
        <f>IF(COUNT('Per-Trial Data'!$J7:$L7)&gt;1,STDEV('Per-Trial Data'!$J7:$L7)/SQRT(COUNT('Per-Trial Data'!$J7:$L7)),0)</f>
        <v/>
      </c>
      <c r="I31" s="4">
        <f>G31-E31</f>
        <v/>
      </c>
      <c r="J31" s="10">
        <f>SQRT(F31^2+H31^2)</f>
        <v/>
      </c>
      <c r="K31" s="4">
        <f>AVERAGE('Per-Trial Data'!$M7:$O7)</f>
        <v/>
      </c>
      <c r="L31" s="10">
        <f>IF(COUNT('Per-Trial Data'!$M7:$O7)&gt;1,STDEV('Per-Trial Data'!$M7:$O7)/SQRT(COUNT('Per-Trial Data'!$M7:$O7)),0)</f>
        <v/>
      </c>
      <c r="M31" s="4">
        <f>AVERAGE('Per-Trial Data'!$P7:$R7)</f>
        <v/>
      </c>
      <c r="N31" s="10">
        <f>IF(COUNT('Per-Trial Data'!$P7:$R7)&gt;1,STDEV('Per-Trial Data'!$P7:$R7)/SQRT(COUNT('Per-Trial Data'!$P7:$R7)),0)</f>
        <v/>
      </c>
      <c r="O31" s="4">
        <f>M31-K31</f>
        <v/>
      </c>
      <c r="P31" s="10">
        <f>SQRT(L31^2+N31^2)</f>
        <v/>
      </c>
    </row>
    <row r="32">
      <c r="A32" s="3" t="inlineStr">
        <is>
          <t>2ITZ</t>
        </is>
      </c>
      <c r="B32" s="3" t="inlineStr">
        <is>
          <t>Gefitinib</t>
        </is>
      </c>
      <c r="C32" s="3" t="inlineStr">
        <is>
          <t>EGFR</t>
        </is>
      </c>
      <c r="D32" s="9">
        <f>AVERAGE('Per-Trial Data'!$D8:$F8)</f>
        <v/>
      </c>
      <c r="E32" s="4">
        <f>AVERAGE('Per-Trial Data'!$G8:$I8)</f>
        <v/>
      </c>
      <c r="F32" s="10">
        <f>IF(COUNT('Per-Trial Data'!$G8:$I8)&gt;1,STDEV('Per-Trial Data'!$G8:$I8)/SQRT(COUNT('Per-Trial Data'!$G8:$I8)),0)</f>
        <v/>
      </c>
      <c r="G32" s="4">
        <f>AVERAGE('Per-Trial Data'!$J8:$L8)</f>
        <v/>
      </c>
      <c r="H32" s="10">
        <f>IF(COUNT('Per-Trial Data'!$J8:$L8)&gt;1,STDEV('Per-Trial Data'!$J8:$L8)/SQRT(COUNT('Per-Trial Data'!$J8:$L8)),0)</f>
        <v/>
      </c>
      <c r="I32" s="4">
        <f>G32-E32</f>
        <v/>
      </c>
      <c r="J32" s="10">
        <f>SQRT(F32^2+H32^2)</f>
        <v/>
      </c>
      <c r="K32" s="4">
        <f>AVERAGE('Per-Trial Data'!$M8:$O8)</f>
        <v/>
      </c>
      <c r="L32" s="10">
        <f>IF(COUNT('Per-Trial Data'!$M8:$O8)&gt;1,STDEV('Per-Trial Data'!$M8:$O8)/SQRT(COUNT('Per-Trial Data'!$M8:$O8)),0)</f>
        <v/>
      </c>
      <c r="M32" s="4">
        <f>AVERAGE('Per-Trial Data'!$P8:$R8)</f>
        <v/>
      </c>
      <c r="N32" s="10">
        <f>IF(COUNT('Per-Trial Data'!$P8:$R8)&gt;1,STDEV('Per-Trial Data'!$P8:$R8)/SQRT(COUNT('Per-Trial Data'!$P8:$R8)),0)</f>
        <v/>
      </c>
      <c r="O32" s="4">
        <f>M32-K32</f>
        <v/>
      </c>
      <c r="P32" s="10">
        <f>SQRT(L32^2+N32^2)</f>
        <v/>
      </c>
    </row>
    <row r="33">
      <c r="A33" s="3" t="inlineStr">
        <is>
          <t>3UG2</t>
        </is>
      </c>
      <c r="B33" s="3" t="inlineStr">
        <is>
          <t>Gefitinib</t>
        </is>
      </c>
      <c r="C33" s="3" t="inlineStr">
        <is>
          <t>EGFR</t>
        </is>
      </c>
      <c r="D33" s="9">
        <f>AVERAGE('Per-Trial Data'!$D17:$F17)</f>
        <v/>
      </c>
      <c r="E33" s="4">
        <f>AVERAGE('Per-Trial Data'!$G17:$I17)</f>
        <v/>
      </c>
      <c r="F33" s="10">
        <f>IF(COUNT('Per-Trial Data'!$G17:$I17)&gt;1,STDEV('Per-Trial Data'!$G17:$I17)/SQRT(COUNT('Per-Trial Data'!$G17:$I17)),0)</f>
        <v/>
      </c>
      <c r="G33" s="4">
        <f>AVERAGE('Per-Trial Data'!$J17:$L17)</f>
        <v/>
      </c>
      <c r="H33" s="10">
        <f>IF(COUNT('Per-Trial Data'!$J17:$L17)&gt;1,STDEV('Per-Trial Data'!$J17:$L17)/SQRT(COUNT('Per-Trial Data'!$J17:$L17)),0)</f>
        <v/>
      </c>
      <c r="I33" s="4">
        <f>G33-E33</f>
        <v/>
      </c>
      <c r="J33" s="10">
        <f>SQRT(F33^2+H33^2)</f>
        <v/>
      </c>
      <c r="K33" s="4">
        <f>AVERAGE('Per-Trial Data'!$M17:$O17)</f>
        <v/>
      </c>
      <c r="L33" s="10">
        <f>IF(COUNT('Per-Trial Data'!$M17:$O17)&gt;1,STDEV('Per-Trial Data'!$M17:$O17)/SQRT(COUNT('Per-Trial Data'!$M17:$O17)),0)</f>
        <v/>
      </c>
      <c r="M33" s="4">
        <f>AVERAGE('Per-Trial Data'!$P17:$R17)</f>
        <v/>
      </c>
      <c r="N33" s="10">
        <f>IF(COUNT('Per-Trial Data'!$P17:$R17)&gt;1,STDEV('Per-Trial Data'!$P17:$R17)/SQRT(COUNT('Per-Trial Data'!$P17:$R17)),0)</f>
        <v/>
      </c>
      <c r="O33" s="4">
        <f>M33-K33</f>
        <v/>
      </c>
      <c r="P33" s="10">
        <f>SQRT(L33^2+N33^2)</f>
        <v/>
      </c>
    </row>
    <row r="34">
      <c r="A34" s="3" t="inlineStr">
        <is>
          <t>4I22</t>
        </is>
      </c>
      <c r="B34" s="3" t="inlineStr">
        <is>
          <t>Gefitinib</t>
        </is>
      </c>
      <c r="C34" s="3" t="inlineStr">
        <is>
          <t>EGFR</t>
        </is>
      </c>
      <c r="D34" s="9">
        <f>AVERAGE('Per-Trial Data'!$D30:$F30)</f>
        <v/>
      </c>
      <c r="E34" s="4">
        <f>AVERAGE('Per-Trial Data'!$G30:$I30)</f>
        <v/>
      </c>
      <c r="F34" s="10">
        <f>IF(COUNT('Per-Trial Data'!$G30:$I30)&gt;1,STDEV('Per-Trial Data'!$G30:$I30)/SQRT(COUNT('Per-Trial Data'!$G30:$I30)),0)</f>
        <v/>
      </c>
      <c r="G34" s="4">
        <f>AVERAGE('Per-Trial Data'!$J30:$L30)</f>
        <v/>
      </c>
      <c r="H34" s="10">
        <f>IF(COUNT('Per-Trial Data'!$J30:$L30)&gt;1,STDEV('Per-Trial Data'!$J30:$L30)/SQRT(COUNT('Per-Trial Data'!$J30:$L30)),0)</f>
        <v/>
      </c>
      <c r="I34" s="4">
        <f>G34-E34</f>
        <v/>
      </c>
      <c r="J34" s="10">
        <f>SQRT(F34^2+H34^2)</f>
        <v/>
      </c>
      <c r="K34" s="4">
        <f>AVERAGE('Per-Trial Data'!$M30:$O30)</f>
        <v/>
      </c>
      <c r="L34" s="10">
        <f>IF(COUNT('Per-Trial Data'!$M30:$O30)&gt;1,STDEV('Per-Trial Data'!$M30:$O30)/SQRT(COUNT('Per-Trial Data'!$M30:$O30)),0)</f>
        <v/>
      </c>
      <c r="M34" s="4">
        <f>AVERAGE('Per-Trial Data'!$P30:$R30)</f>
        <v/>
      </c>
      <c r="N34" s="10">
        <f>IF(COUNT('Per-Trial Data'!$P30:$R30)&gt;1,STDEV('Per-Trial Data'!$P30:$R30)/SQRT(COUNT('Per-Trial Data'!$P30:$R30)),0)</f>
        <v/>
      </c>
      <c r="O34" s="4">
        <f>M34-K34</f>
        <v/>
      </c>
      <c r="P34" s="10">
        <f>SQRT(L34^2+N34^2)</f>
        <v/>
      </c>
    </row>
    <row r="35">
      <c r="A35" s="3" t="inlineStr">
        <is>
          <t>4WKQ</t>
        </is>
      </c>
      <c r="B35" s="3" t="inlineStr">
        <is>
          <t>Gefitinib</t>
        </is>
      </c>
      <c r="C35" s="3" t="inlineStr">
        <is>
          <t>EGFR</t>
        </is>
      </c>
      <c r="D35" s="9">
        <f>AVERAGE('Per-Trial Data'!$D33:$F33)</f>
        <v/>
      </c>
      <c r="E35" s="4">
        <f>AVERAGE('Per-Trial Data'!$G33:$I33)</f>
        <v/>
      </c>
      <c r="F35" s="10">
        <f>IF(COUNT('Per-Trial Data'!$G33:$I33)&gt;1,STDEV('Per-Trial Data'!$G33:$I33)/SQRT(COUNT('Per-Trial Data'!$G33:$I33)),0)</f>
        <v/>
      </c>
      <c r="G35" s="4">
        <f>AVERAGE('Per-Trial Data'!$J33:$L33)</f>
        <v/>
      </c>
      <c r="H35" s="10">
        <f>IF(COUNT('Per-Trial Data'!$J33:$L33)&gt;1,STDEV('Per-Trial Data'!$J33:$L33)/SQRT(COUNT('Per-Trial Data'!$J33:$L33)),0)</f>
        <v/>
      </c>
      <c r="I35" s="4">
        <f>G35-E35</f>
        <v/>
      </c>
      <c r="J35" s="10">
        <f>SQRT(F35^2+H35^2)</f>
        <v/>
      </c>
      <c r="K35" s="4">
        <f>AVERAGE('Per-Trial Data'!$M33:$O33)</f>
        <v/>
      </c>
      <c r="L35" s="10">
        <f>IF(COUNT('Per-Trial Data'!$M33:$O33)&gt;1,STDEV('Per-Trial Data'!$M33:$O33)/SQRT(COUNT('Per-Trial Data'!$M33:$O33)),0)</f>
        <v/>
      </c>
      <c r="M35" s="4">
        <f>AVERAGE('Per-Trial Data'!$P33:$R33)</f>
        <v/>
      </c>
      <c r="N35" s="10">
        <f>IF(COUNT('Per-Trial Data'!$P33:$R33)&gt;1,STDEV('Per-Trial Data'!$P33:$R33)/SQRT(COUNT('Per-Trial Data'!$P33:$R33)),0)</f>
        <v/>
      </c>
      <c r="O35" s="4">
        <f>M35-K35</f>
        <v/>
      </c>
      <c r="P35" s="10">
        <f>SQRT(L35^2+N35^2)</f>
        <v/>
      </c>
    </row>
    <row r="36">
      <c r="A36" s="3" t="inlineStr">
        <is>
          <t>1XKK</t>
        </is>
      </c>
      <c r="B36" s="3" t="inlineStr">
        <is>
          <t>Lapatinib</t>
        </is>
      </c>
      <c r="C36" s="3" t="inlineStr">
        <is>
          <t>EGFR</t>
        </is>
      </c>
      <c r="D36" s="9">
        <f>AVERAGE('Per-Trial Data'!$D3:$F3)</f>
        <v/>
      </c>
      <c r="E36" s="4">
        <f>AVERAGE('Per-Trial Data'!$G3:$I3)</f>
        <v/>
      </c>
      <c r="F36" s="10">
        <f>IF(COUNT('Per-Trial Data'!$G3:$I3)&gt;1,STDEV('Per-Trial Data'!$G3:$I3)/SQRT(COUNT('Per-Trial Data'!$G3:$I3)),0)</f>
        <v/>
      </c>
      <c r="G36" s="4">
        <f>AVERAGE('Per-Trial Data'!$J3:$L3)</f>
        <v/>
      </c>
      <c r="H36" s="10">
        <f>IF(COUNT('Per-Trial Data'!$J3:$L3)&gt;1,STDEV('Per-Trial Data'!$J3:$L3)/SQRT(COUNT('Per-Trial Data'!$J3:$L3)),0)</f>
        <v/>
      </c>
      <c r="I36" s="4">
        <f>G36-E36</f>
        <v/>
      </c>
      <c r="J36" s="10">
        <f>SQRT(F36^2+H36^2)</f>
        <v/>
      </c>
      <c r="K36" s="4">
        <f>AVERAGE('Per-Trial Data'!$M3:$O3)</f>
        <v/>
      </c>
      <c r="L36" s="10">
        <f>IF(COUNT('Per-Trial Data'!$M3:$O3)&gt;1,STDEV('Per-Trial Data'!$M3:$O3)/SQRT(COUNT('Per-Trial Data'!$M3:$O3)),0)</f>
        <v/>
      </c>
      <c r="M36" s="4">
        <f>AVERAGE('Per-Trial Data'!$P3:$R3)</f>
        <v/>
      </c>
      <c r="N36" s="10">
        <f>IF(COUNT('Per-Trial Data'!$P3:$R3)&gt;1,STDEV('Per-Trial Data'!$P3:$R3)/SQRT(COUNT('Per-Trial Data'!$P3:$R3)),0)</f>
        <v/>
      </c>
      <c r="O36" s="4">
        <f>M36-K36</f>
        <v/>
      </c>
      <c r="P36" s="10">
        <f>SQRT(L36^2+N36^2)</f>
        <v/>
      </c>
    </row>
    <row r="37">
      <c r="A37" s="3" t="inlineStr">
        <is>
          <t>4ZAU</t>
        </is>
      </c>
      <c r="B37" s="3" t="inlineStr">
        <is>
          <t>Osimertinib</t>
        </is>
      </c>
      <c r="C37" s="3" t="inlineStr">
        <is>
          <t>EGFR</t>
        </is>
      </c>
      <c r="D37" s="9">
        <f>AVERAGE('Per-Trial Data'!$D34:$F34)</f>
        <v/>
      </c>
      <c r="E37" s="4">
        <f>AVERAGE('Per-Trial Data'!$G34:$I34)</f>
        <v/>
      </c>
      <c r="F37" s="10">
        <f>IF(COUNT('Per-Trial Data'!$G34:$I34)&gt;1,STDEV('Per-Trial Data'!$G34:$I34)/SQRT(COUNT('Per-Trial Data'!$G34:$I34)),0)</f>
        <v/>
      </c>
      <c r="G37" s="4">
        <f>AVERAGE('Per-Trial Data'!$J34:$L34)</f>
        <v/>
      </c>
      <c r="H37" s="10">
        <f>IF(COUNT('Per-Trial Data'!$J34:$L34)&gt;1,STDEV('Per-Trial Data'!$J34:$L34)/SQRT(COUNT('Per-Trial Data'!$J34:$L34)),0)</f>
        <v/>
      </c>
      <c r="I37" s="4">
        <f>G37-E37</f>
        <v/>
      </c>
      <c r="J37" s="10">
        <f>SQRT(F37^2+H37^2)</f>
        <v/>
      </c>
      <c r="K37" s="4">
        <f>AVERAGE('Per-Trial Data'!$M34:$O34)</f>
        <v/>
      </c>
      <c r="L37" s="10">
        <f>IF(COUNT('Per-Trial Data'!$M34:$O34)&gt;1,STDEV('Per-Trial Data'!$M34:$O34)/SQRT(COUNT('Per-Trial Data'!$M34:$O34)),0)</f>
        <v/>
      </c>
      <c r="M37" s="4">
        <f>AVERAGE('Per-Trial Data'!$P34:$R34)</f>
        <v/>
      </c>
      <c r="N37" s="10">
        <f>IF(COUNT('Per-Trial Data'!$P34:$R34)&gt;1,STDEV('Per-Trial Data'!$P34:$R34)/SQRT(COUNT('Per-Trial Data'!$P34:$R34)),0)</f>
        <v/>
      </c>
      <c r="O37" s="4">
        <f>M37-K37</f>
        <v/>
      </c>
      <c r="P37" s="10">
        <f>SQRT(L37^2+N37^2)</f>
        <v/>
      </c>
    </row>
    <row r="38">
      <c r="A38" s="7" t="n"/>
      <c r="B38" s="8" t="inlineStr">
        <is>
          <t>JAK3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3" t="inlineStr">
        <is>
          <t>3LXK</t>
        </is>
      </c>
      <c r="B39" s="3" t="inlineStr">
        <is>
          <t>Tofacitinib</t>
        </is>
      </c>
      <c r="C39" s="3" t="inlineStr">
        <is>
          <t>JAK3</t>
        </is>
      </c>
      <c r="D39" s="9">
        <f>AVERAGE('Per-Trial Data'!$D14:$F14)</f>
        <v/>
      </c>
      <c r="E39" s="4">
        <f>AVERAGE('Per-Trial Data'!$G14:$I14)</f>
        <v/>
      </c>
      <c r="F39" s="10">
        <f>IF(COUNT('Per-Trial Data'!$G14:$I14)&gt;1,STDEV('Per-Trial Data'!$G14:$I14)/SQRT(COUNT('Per-Trial Data'!$G14:$I14)),0)</f>
        <v/>
      </c>
      <c r="G39" s="4">
        <f>AVERAGE('Per-Trial Data'!$J14:$L14)</f>
        <v/>
      </c>
      <c r="H39" s="10">
        <f>IF(COUNT('Per-Trial Data'!$J14:$L14)&gt;1,STDEV('Per-Trial Data'!$J14:$L14)/SQRT(COUNT('Per-Trial Data'!$J14:$L14)),0)</f>
        <v/>
      </c>
      <c r="I39" s="4">
        <f>G39-E39</f>
        <v/>
      </c>
      <c r="J39" s="10">
        <f>SQRT(F39^2+H39^2)</f>
        <v/>
      </c>
      <c r="K39" s="4">
        <f>AVERAGE('Per-Trial Data'!$M14:$O14)</f>
        <v/>
      </c>
      <c r="L39" s="10">
        <f>IF(COUNT('Per-Trial Data'!$M14:$O14)&gt;1,STDEV('Per-Trial Data'!$M14:$O14)/SQRT(COUNT('Per-Trial Data'!$M14:$O14)),0)</f>
        <v/>
      </c>
      <c r="M39" s="4">
        <f>AVERAGE('Per-Trial Data'!$P14:$R14)</f>
        <v/>
      </c>
      <c r="N39" s="10">
        <f>IF(COUNT('Per-Trial Data'!$P14:$R14)&gt;1,STDEV('Per-Trial Data'!$P14:$R14)/SQRT(COUNT('Per-Trial Data'!$P14:$R14)),0)</f>
        <v/>
      </c>
      <c r="O39" s="4">
        <f>M39-K39</f>
        <v/>
      </c>
      <c r="P39" s="10">
        <f>SQRT(L39^2+N39^2)</f>
        <v/>
      </c>
    </row>
    <row r="40">
      <c r="A40" s="7" t="n"/>
      <c r="B40" s="8" t="inlineStr">
        <is>
          <t>MEK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3" t="inlineStr">
        <is>
          <t>4AN2</t>
        </is>
      </c>
      <c r="B41" s="3" t="inlineStr">
        <is>
          <t>Cobimetinib</t>
        </is>
      </c>
      <c r="C41" s="3" t="inlineStr">
        <is>
          <t>MEK</t>
        </is>
      </c>
      <c r="D41" s="9">
        <f>AVERAGE('Per-Trial Data'!$D24:$F24)</f>
        <v/>
      </c>
      <c r="E41" s="4">
        <f>AVERAGE('Per-Trial Data'!$G24:$I24)</f>
        <v/>
      </c>
      <c r="F41" s="10">
        <f>IF(COUNT('Per-Trial Data'!$G24:$I24)&gt;1,STDEV('Per-Trial Data'!$G24:$I24)/SQRT(COUNT('Per-Trial Data'!$G24:$I24)),0)</f>
        <v/>
      </c>
      <c r="G41" s="4">
        <f>AVERAGE('Per-Trial Data'!$J24:$L24)</f>
        <v/>
      </c>
      <c r="H41" s="10">
        <f>IF(COUNT('Per-Trial Data'!$J24:$L24)&gt;1,STDEV('Per-Trial Data'!$J24:$L24)/SQRT(COUNT('Per-Trial Data'!$J24:$L24)),0)</f>
        <v/>
      </c>
      <c r="I41" s="4">
        <f>G41-E41</f>
        <v/>
      </c>
      <c r="J41" s="10">
        <f>SQRT(F41^2+H41^2)</f>
        <v/>
      </c>
      <c r="K41" s="4">
        <f>AVERAGE('Per-Trial Data'!$M24:$O24)</f>
        <v/>
      </c>
      <c r="L41" s="10">
        <f>IF(COUNT('Per-Trial Data'!$M24:$O24)&gt;1,STDEV('Per-Trial Data'!$M24:$O24)/SQRT(COUNT('Per-Trial Data'!$M24:$O24)),0)</f>
        <v/>
      </c>
      <c r="M41" s="4">
        <f>AVERAGE('Per-Trial Data'!$P24:$R24)</f>
        <v/>
      </c>
      <c r="N41" s="10">
        <f>IF(COUNT('Per-Trial Data'!$P24:$R24)&gt;1,STDEV('Per-Trial Data'!$P24:$R24)/SQRT(COUNT('Per-Trial Data'!$P24:$R24)),0)</f>
        <v/>
      </c>
      <c r="O41" s="4">
        <f>M41-K41</f>
        <v/>
      </c>
      <c r="P41" s="10">
        <f>SQRT(L41^2+N41^2)</f>
        <v/>
      </c>
    </row>
    <row r="42">
      <c r="A42" s="3" t="inlineStr">
        <is>
          <t>4LMN</t>
        </is>
      </c>
      <c r="B42" s="3" t="inlineStr">
        <is>
          <t>Cobimetinib</t>
        </is>
      </c>
      <c r="C42" s="3" t="inlineStr">
        <is>
          <t>MEK</t>
        </is>
      </c>
      <c r="D42" s="9">
        <f>AVERAGE('Per-Trial Data'!$D31:$F31)</f>
        <v/>
      </c>
      <c r="E42" s="4">
        <f>AVERAGE('Per-Trial Data'!$G31:$I31)</f>
        <v/>
      </c>
      <c r="F42" s="10">
        <f>IF(COUNT('Per-Trial Data'!$G31:$I31)&gt;1,STDEV('Per-Trial Data'!$G31:$I31)/SQRT(COUNT('Per-Trial Data'!$G31:$I31)),0)</f>
        <v/>
      </c>
      <c r="G42" s="4">
        <f>AVERAGE('Per-Trial Data'!$J31:$L31)</f>
        <v/>
      </c>
      <c r="H42" s="10">
        <f>IF(COUNT('Per-Trial Data'!$J31:$L31)&gt;1,STDEV('Per-Trial Data'!$J31:$L31)/SQRT(COUNT('Per-Trial Data'!$J31:$L31)),0)</f>
        <v/>
      </c>
      <c r="I42" s="4">
        <f>G42-E42</f>
        <v/>
      </c>
      <c r="J42" s="10">
        <f>SQRT(F42^2+H42^2)</f>
        <v/>
      </c>
      <c r="K42" s="4">
        <f>AVERAGE('Per-Trial Data'!$M31:$O31)</f>
        <v/>
      </c>
      <c r="L42" s="10">
        <f>IF(COUNT('Per-Trial Data'!$M31:$O31)&gt;1,STDEV('Per-Trial Data'!$M31:$O31)/SQRT(COUNT('Per-Trial Data'!$M31:$O31)),0)</f>
        <v/>
      </c>
      <c r="M42" s="4">
        <f>AVERAGE('Per-Trial Data'!$P31:$R31)</f>
        <v/>
      </c>
      <c r="N42" s="10">
        <f>IF(COUNT('Per-Trial Data'!$P31:$R31)&gt;1,STDEV('Per-Trial Data'!$P31:$R31)/SQRT(COUNT('Per-Trial Data'!$P31:$R31)),0)</f>
        <v/>
      </c>
      <c r="O42" s="4">
        <f>M42-K42</f>
        <v/>
      </c>
      <c r="P42" s="10">
        <f>SQRT(L42^2+N42^2)</f>
        <v/>
      </c>
    </row>
    <row r="43">
      <c r="A43" s="7" t="n"/>
      <c r="B43" s="8" t="inlineStr">
        <is>
          <t>MET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3" t="inlineStr">
        <is>
          <t>2WGJ</t>
        </is>
      </c>
      <c r="B44" s="3" t="inlineStr">
        <is>
          <t>Crizotinib</t>
        </is>
      </c>
      <c r="C44" s="3" t="inlineStr">
        <is>
          <t>MET</t>
        </is>
      </c>
      <c r="D44" s="9">
        <f>AVERAGE('Per-Trial Data'!$D9:$F9)</f>
        <v/>
      </c>
      <c r="E44" s="4">
        <f>AVERAGE('Per-Trial Data'!$G9:$I9)</f>
        <v/>
      </c>
      <c r="F44" s="10">
        <f>IF(COUNT('Per-Trial Data'!$G9:$I9)&gt;1,STDEV('Per-Trial Data'!$G9:$I9)/SQRT(COUNT('Per-Trial Data'!$G9:$I9)),0)</f>
        <v/>
      </c>
      <c r="G44" s="4">
        <f>AVERAGE('Per-Trial Data'!$J9:$L9)</f>
        <v/>
      </c>
      <c r="H44" s="10">
        <f>IF(COUNT('Per-Trial Data'!$J9:$L9)&gt;1,STDEV('Per-Trial Data'!$J9:$L9)/SQRT(COUNT('Per-Trial Data'!$J9:$L9)),0)</f>
        <v/>
      </c>
      <c r="I44" s="4">
        <f>G44-E44</f>
        <v/>
      </c>
      <c r="J44" s="10">
        <f>SQRT(F44^2+H44^2)</f>
        <v/>
      </c>
      <c r="K44" s="4">
        <f>AVERAGE('Per-Trial Data'!$M9:$O9)</f>
        <v/>
      </c>
      <c r="L44" s="10">
        <f>IF(COUNT('Per-Trial Data'!$M9:$O9)&gt;1,STDEV('Per-Trial Data'!$M9:$O9)/SQRT(COUNT('Per-Trial Data'!$M9:$O9)),0)</f>
        <v/>
      </c>
      <c r="M44" s="4">
        <f>AVERAGE('Per-Trial Data'!$P9:$R9)</f>
        <v/>
      </c>
      <c r="N44" s="10">
        <f>IF(COUNT('Per-Trial Data'!$P9:$R9)&gt;1,STDEV('Per-Trial Data'!$P9:$R9)/SQRT(COUNT('Per-Trial Data'!$P9:$R9)),0)</f>
        <v/>
      </c>
      <c r="O44" s="4">
        <f>M44-K44</f>
        <v/>
      </c>
      <c r="P44" s="10">
        <f>SQRT(L44^2+N44^2)</f>
        <v/>
      </c>
    </row>
    <row r="45">
      <c r="A45" s="7" t="n"/>
      <c r="B45" s="8" t="inlineStr">
        <is>
          <t>VGFR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3" t="inlineStr">
        <is>
          <t>4AG8</t>
        </is>
      </c>
      <c r="B46" s="3" t="inlineStr">
        <is>
          <t>Axitinib</t>
        </is>
      </c>
      <c r="C46" s="3" t="inlineStr">
        <is>
          <t>VGFR</t>
        </is>
      </c>
      <c r="D46" s="9">
        <f>AVERAGE('Per-Trial Data'!$D21:$F21)</f>
        <v/>
      </c>
      <c r="E46" s="4">
        <f>AVERAGE('Per-Trial Data'!$G21:$I21)</f>
        <v/>
      </c>
      <c r="F46" s="10">
        <f>IF(COUNT('Per-Trial Data'!$G21:$I21)&gt;1,STDEV('Per-Trial Data'!$G21:$I21)/SQRT(COUNT('Per-Trial Data'!$G21:$I21)),0)</f>
        <v/>
      </c>
      <c r="G46" s="4">
        <f>AVERAGE('Per-Trial Data'!$J21:$L21)</f>
        <v/>
      </c>
      <c r="H46" s="10">
        <f>IF(COUNT('Per-Trial Data'!$J21:$L21)&gt;1,STDEV('Per-Trial Data'!$J21:$L21)/SQRT(COUNT('Per-Trial Data'!$J21:$L21)),0)</f>
        <v/>
      </c>
      <c r="I46" s="4">
        <f>G46-E46</f>
        <v/>
      </c>
      <c r="J46" s="10">
        <f>SQRT(F46^2+H46^2)</f>
        <v/>
      </c>
      <c r="K46" s="4">
        <f>AVERAGE('Per-Trial Data'!$M21:$O21)</f>
        <v/>
      </c>
      <c r="L46" s="10">
        <f>IF(COUNT('Per-Trial Data'!$M21:$O21)&gt;1,STDEV('Per-Trial Data'!$M21:$O21)/SQRT(COUNT('Per-Trial Data'!$M21:$O21)),0)</f>
        <v/>
      </c>
      <c r="M46" s="4">
        <f>AVERAGE('Per-Trial Data'!$P21:$R21)</f>
        <v/>
      </c>
      <c r="N46" s="10">
        <f>IF(COUNT('Per-Trial Data'!$P21:$R21)&gt;1,STDEV('Per-Trial Data'!$P21:$R21)/SQRT(COUNT('Per-Trial Data'!$P21:$R21)),0)</f>
        <v/>
      </c>
      <c r="O46" s="4">
        <f>M46-K46</f>
        <v/>
      </c>
      <c r="P46" s="10">
        <f>SQRT(L46^2+N46^2)</f>
        <v/>
      </c>
    </row>
    <row r="47">
      <c r="A47" s="3" t="inlineStr">
        <is>
          <t>4AGC</t>
        </is>
      </c>
      <c r="B47" s="3" t="inlineStr">
        <is>
          <t>Axitinib</t>
        </is>
      </c>
      <c r="C47" s="3" t="inlineStr">
        <is>
          <t>VGFR</t>
        </is>
      </c>
      <c r="D47" s="9">
        <f>AVERAGE('Per-Trial Data'!$D22:$F22)</f>
        <v/>
      </c>
      <c r="E47" s="4">
        <f>AVERAGE('Per-Trial Data'!$G22:$I22)</f>
        <v/>
      </c>
      <c r="F47" s="10">
        <f>IF(COUNT('Per-Trial Data'!$G22:$I22)&gt;1,STDEV('Per-Trial Data'!$G22:$I22)/SQRT(COUNT('Per-Trial Data'!$G22:$I22)),0)</f>
        <v/>
      </c>
      <c r="G47" s="4">
        <f>AVERAGE('Per-Trial Data'!$J22:$L22)</f>
        <v/>
      </c>
      <c r="H47" s="10">
        <f>IF(COUNT('Per-Trial Data'!$J22:$L22)&gt;1,STDEV('Per-Trial Data'!$J22:$L22)/SQRT(COUNT('Per-Trial Data'!$J22:$L22)),0)</f>
        <v/>
      </c>
      <c r="I47" s="4">
        <f>G47-E47</f>
        <v/>
      </c>
      <c r="J47" s="10">
        <f>SQRT(F47^2+H47^2)</f>
        <v/>
      </c>
      <c r="K47" s="4">
        <f>AVERAGE('Per-Trial Data'!$M22:$O22)</f>
        <v/>
      </c>
      <c r="L47" s="10">
        <f>IF(COUNT('Per-Trial Data'!$M22:$O22)&gt;1,STDEV('Per-Trial Data'!$M22:$O22)/SQRT(COUNT('Per-Trial Data'!$M22:$O22)),0)</f>
        <v/>
      </c>
      <c r="M47" s="4">
        <f>AVERAGE('Per-Trial Data'!$P22:$R22)</f>
        <v/>
      </c>
      <c r="N47" s="10">
        <f>IF(COUNT('Per-Trial Data'!$P22:$R22)&gt;1,STDEV('Per-Trial Data'!$P22:$R22)/SQRT(COUNT('Per-Trial Data'!$P22:$R22)),0)</f>
        <v/>
      </c>
      <c r="O47" s="4">
        <f>M47-K47</f>
        <v/>
      </c>
      <c r="P47" s="10">
        <f>SQRT(L47^2+N47^2)</f>
        <v/>
      </c>
    </row>
    <row r="48">
      <c r="A48" s="3" t="inlineStr">
        <is>
          <t>3WZD</t>
        </is>
      </c>
      <c r="B48" s="3" t="inlineStr">
        <is>
          <t>Lenvatinib</t>
        </is>
      </c>
      <c r="C48" s="3" t="inlineStr">
        <is>
          <t>VGFR</t>
        </is>
      </c>
      <c r="D48" s="9">
        <f>AVERAGE('Per-Trial Data'!$D18:$F18)</f>
        <v/>
      </c>
      <c r="E48" s="4">
        <f>AVERAGE('Per-Trial Data'!$G18:$I18)</f>
        <v/>
      </c>
      <c r="F48" s="10">
        <f>IF(COUNT('Per-Trial Data'!$G18:$I18)&gt;1,STDEV('Per-Trial Data'!$G18:$I18)/SQRT(COUNT('Per-Trial Data'!$G18:$I18)),0)</f>
        <v/>
      </c>
      <c r="G48" s="4">
        <f>AVERAGE('Per-Trial Data'!$J18:$L18)</f>
        <v/>
      </c>
      <c r="H48" s="10">
        <f>IF(COUNT('Per-Trial Data'!$J18:$L18)&gt;1,STDEV('Per-Trial Data'!$J18:$L18)/SQRT(COUNT('Per-Trial Data'!$J18:$L18)),0)</f>
        <v/>
      </c>
      <c r="I48" s="4">
        <f>G48-E48</f>
        <v/>
      </c>
      <c r="J48" s="10">
        <f>SQRT(F48^2+H48^2)</f>
        <v/>
      </c>
      <c r="K48" s="4">
        <f>AVERAGE('Per-Trial Data'!$M18:$O18)</f>
        <v/>
      </c>
      <c r="L48" s="10">
        <f>IF(COUNT('Per-Trial Data'!$M18:$O18)&gt;1,STDEV('Per-Trial Data'!$M18:$O18)/SQRT(COUNT('Per-Trial Data'!$M18:$O18)),0)</f>
        <v/>
      </c>
      <c r="M48" s="4">
        <f>AVERAGE('Per-Trial Data'!$P18:$R18)</f>
        <v/>
      </c>
      <c r="N48" s="10">
        <f>IF(COUNT('Per-Trial Data'!$P18:$R18)&gt;1,STDEV('Per-Trial Data'!$P18:$R18)/SQRT(COUNT('Per-Trial Data'!$P18:$R18)),0)</f>
        <v/>
      </c>
      <c r="O48" s="4">
        <f>M48-K48</f>
        <v/>
      </c>
      <c r="P48" s="10">
        <f>SQRT(L48^2+N48^2)</f>
        <v/>
      </c>
    </row>
    <row r="49">
      <c r="A49" s="3" t="inlineStr">
        <is>
          <t>3WZE</t>
        </is>
      </c>
      <c r="B49" s="3" t="inlineStr">
        <is>
          <t>Sorafenib</t>
        </is>
      </c>
      <c r="C49" s="3" t="inlineStr">
        <is>
          <t>VGFR</t>
        </is>
      </c>
      <c r="D49" s="9">
        <f>AVERAGE('Per-Trial Data'!$D19:$F19)</f>
        <v/>
      </c>
      <c r="E49" s="4">
        <f>AVERAGE('Per-Trial Data'!$G19:$I19)</f>
        <v/>
      </c>
      <c r="F49" s="10">
        <f>IF(COUNT('Per-Trial Data'!$G19:$I19)&gt;1,STDEV('Per-Trial Data'!$G19:$I19)/SQRT(COUNT('Per-Trial Data'!$G19:$I19)),0)</f>
        <v/>
      </c>
      <c r="G49" s="4">
        <f>AVERAGE('Per-Trial Data'!$J19:$L19)</f>
        <v/>
      </c>
      <c r="H49" s="10">
        <f>IF(COUNT('Per-Trial Data'!$J19:$L19)&gt;1,STDEV('Per-Trial Data'!$J19:$L19)/SQRT(COUNT('Per-Trial Data'!$J19:$L19)),0)</f>
        <v/>
      </c>
      <c r="I49" s="4">
        <f>G49-E49</f>
        <v/>
      </c>
      <c r="J49" s="10">
        <f>SQRT(F49^2+H49^2)</f>
        <v/>
      </c>
      <c r="K49" s="4">
        <f>AVERAGE('Per-Trial Data'!$M19:$O19)</f>
        <v/>
      </c>
      <c r="L49" s="10">
        <f>IF(COUNT('Per-Trial Data'!$M19:$O19)&gt;1,STDEV('Per-Trial Data'!$M19:$O19)/SQRT(COUNT('Per-Trial Data'!$M19:$O19)),0)</f>
        <v/>
      </c>
      <c r="M49" s="4">
        <f>AVERAGE('Per-Trial Data'!$P19:$R19)</f>
        <v/>
      </c>
      <c r="N49" s="10">
        <f>IF(COUNT('Per-Trial Data'!$P19:$R19)&gt;1,STDEV('Per-Trial Data'!$P19:$R19)/SQRT(COUNT('Per-Trial Data'!$P19:$R19)),0)</f>
        <v/>
      </c>
      <c r="O49" s="4">
        <f>M49-K49</f>
        <v/>
      </c>
      <c r="P49" s="10">
        <f>SQRT(L49^2+N49^2)</f>
        <v/>
      </c>
    </row>
    <row r="50">
      <c r="A50" s="3" t="inlineStr">
        <is>
          <t>4ASD</t>
        </is>
      </c>
      <c r="B50" s="3" t="inlineStr">
        <is>
          <t>Sorafenib</t>
        </is>
      </c>
      <c r="C50" s="3" t="inlineStr">
        <is>
          <t>VGFR</t>
        </is>
      </c>
      <c r="D50" s="9">
        <f>AVERAGE('Per-Trial Data'!$D27:$F27)</f>
        <v/>
      </c>
      <c r="E50" s="4">
        <f>AVERAGE('Per-Trial Data'!$G27:$I27)</f>
        <v/>
      </c>
      <c r="F50" s="10">
        <f>IF(COUNT('Per-Trial Data'!$G27:$I27)&gt;1,STDEV('Per-Trial Data'!$G27:$I27)/SQRT(COUNT('Per-Trial Data'!$G27:$I27)),0)</f>
        <v/>
      </c>
      <c r="G50" s="4">
        <f>AVERAGE('Per-Trial Data'!$J27:$L27)</f>
        <v/>
      </c>
      <c r="H50" s="10">
        <f>IF(COUNT('Per-Trial Data'!$J27:$L27)&gt;1,STDEV('Per-Trial Data'!$J27:$L27)/SQRT(COUNT('Per-Trial Data'!$J27:$L27)),0)</f>
        <v/>
      </c>
      <c r="I50" s="4">
        <f>G50-E50</f>
        <v/>
      </c>
      <c r="J50" s="10">
        <f>SQRT(F50^2+H50^2)</f>
        <v/>
      </c>
      <c r="K50" s="4">
        <f>AVERAGE('Per-Trial Data'!$M27:$O27)</f>
        <v/>
      </c>
      <c r="L50" s="10">
        <f>IF(COUNT('Per-Trial Data'!$M27:$O27)&gt;1,STDEV('Per-Trial Data'!$M27:$O27)/SQRT(COUNT('Per-Trial Data'!$M27:$O27)),0)</f>
        <v/>
      </c>
      <c r="M50" s="4">
        <f>AVERAGE('Per-Trial Data'!$P27:$R27)</f>
        <v/>
      </c>
      <c r="N50" s="10">
        <f>IF(COUNT('Per-Trial Data'!$P27:$R27)&gt;1,STDEV('Per-Trial Data'!$P27:$R27)/SQRT(COUNT('Per-Trial Data'!$P27:$R27)),0)</f>
        <v/>
      </c>
      <c r="O50" s="4">
        <f>M50-K50</f>
        <v/>
      </c>
      <c r="P50" s="10">
        <f>SQRT(L50^2+N50^2)</f>
        <v/>
      </c>
    </row>
    <row r="51">
      <c r="A51" s="3" t="inlineStr">
        <is>
          <t>4AGD</t>
        </is>
      </c>
      <c r="B51" s="3" t="inlineStr">
        <is>
          <t>Sunitinib</t>
        </is>
      </c>
      <c r="C51" s="3" t="inlineStr">
        <is>
          <t>VGFR</t>
        </is>
      </c>
      <c r="D51" s="9">
        <f>AVERAGE('Per-Trial Data'!$D23:$F23)</f>
        <v/>
      </c>
      <c r="E51" s="4">
        <f>AVERAGE('Per-Trial Data'!$G23:$I23)</f>
        <v/>
      </c>
      <c r="F51" s="10">
        <f>IF(COUNT('Per-Trial Data'!$G23:$I23)&gt;1,STDEV('Per-Trial Data'!$G23:$I23)/SQRT(COUNT('Per-Trial Data'!$G23:$I23)),0)</f>
        <v/>
      </c>
      <c r="G51" s="4">
        <f>AVERAGE('Per-Trial Data'!$J23:$L23)</f>
        <v/>
      </c>
      <c r="H51" s="10">
        <f>IF(COUNT('Per-Trial Data'!$J23:$L23)&gt;1,STDEV('Per-Trial Data'!$J23:$L23)/SQRT(COUNT('Per-Trial Data'!$J23:$L23)),0)</f>
        <v/>
      </c>
      <c r="I51" s="4">
        <f>G51-E51</f>
        <v/>
      </c>
      <c r="J51" s="10">
        <f>SQRT(F51^2+H51^2)</f>
        <v/>
      </c>
      <c r="K51" s="4">
        <f>AVERAGE('Per-Trial Data'!$M23:$O23)</f>
        <v/>
      </c>
      <c r="L51" s="10">
        <f>IF(COUNT('Per-Trial Data'!$M23:$O23)&gt;1,STDEV('Per-Trial Data'!$M23:$O23)/SQRT(COUNT('Per-Trial Data'!$M23:$O23)),0)</f>
        <v/>
      </c>
      <c r="M51" s="4">
        <f>AVERAGE('Per-Trial Data'!$P23:$R23)</f>
        <v/>
      </c>
      <c r="N51" s="10">
        <f>IF(COUNT('Per-Trial Data'!$P23:$R23)&gt;1,STDEV('Per-Trial Data'!$P23:$R23)/SQRT(COUNT('Per-Trial Data'!$P23:$R23)),0)</f>
        <v/>
      </c>
      <c r="O51" s="4">
        <f>M51-K51</f>
        <v/>
      </c>
      <c r="P51" s="10">
        <f>SQRT(L51^2+N51^2)</f>
        <v/>
      </c>
    </row>
    <row r="53">
      <c r="A53" s="5" t="inlineStr">
        <is>
          <t>∆crg columns are differences of the trial means; their ± is the propagated SEM √(a²+b²). The residue-level holo−apo difference is instead paired within each trial — see Methods.</t>
        </is>
      </c>
    </row>
  </sheetData>
  <mergeCells count="4">
    <mergeCell ref="K4:L4"/>
    <mergeCell ref="O4:P4"/>
    <mergeCell ref="D4:J4"/>
    <mergeCell ref="M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/>
      <c r="B1" s="1" t="inlineStr"/>
      <c r="C1" s="1" t="inlineStr"/>
      <c r="D1" s="1" t="inlineStr"/>
      <c r="E1" s="1" t="inlineStr">
        <is>
          <t>P(i) soln</t>
        </is>
      </c>
      <c r="H1" s="1" t="inlineStr">
        <is>
          <t>P(i) bound</t>
        </is>
      </c>
      <c r="K1" s="1" t="inlineStr">
        <is>
          <t># rotamers</t>
        </is>
      </c>
    </row>
    <row r="2">
      <c r="A2" s="2" t="inlineStr">
        <is>
          <t>PDBID</t>
        </is>
      </c>
      <c r="B2" s="2" t="inlineStr">
        <is>
          <t>Ligand</t>
        </is>
      </c>
      <c r="C2" s="2" t="inlineStr">
        <is>
          <t>Conf type</t>
        </is>
      </c>
      <c r="D2" s="2" t="inlineStr">
        <is>
          <t>charge</t>
        </is>
      </c>
      <c r="E2" s="2" t="inlineStr">
        <is>
          <t>T01</t>
        </is>
      </c>
      <c r="F2" s="2" t="inlineStr">
        <is>
          <t>T02</t>
        </is>
      </c>
      <c r="G2" s="2" t="inlineStr">
        <is>
          <t>T03</t>
        </is>
      </c>
      <c r="H2" s="2" t="inlineStr">
        <is>
          <t>T01</t>
        </is>
      </c>
      <c r="I2" s="2" t="inlineStr">
        <is>
          <t>T02</t>
        </is>
      </c>
      <c r="J2" s="2" t="inlineStr">
        <is>
          <t>T03</t>
        </is>
      </c>
      <c r="K2" s="2" t="inlineStr">
        <is>
          <t>T01</t>
        </is>
      </c>
      <c r="L2" s="2" t="inlineStr">
        <is>
          <t>T02</t>
        </is>
      </c>
      <c r="M2" s="2" t="inlineStr">
        <is>
          <t>T03</t>
        </is>
      </c>
    </row>
    <row r="3">
      <c r="A3" s="3" t="inlineStr">
        <is>
          <t>1XKK</t>
        </is>
      </c>
      <c r="B3" s="3" t="inlineStr">
        <is>
          <t>Lapatinib</t>
        </is>
      </c>
      <c r="C3" s="3" t="inlineStr">
        <is>
          <t>FMM+1</t>
        </is>
      </c>
      <c r="D3" s="10" t="n">
        <v>1</v>
      </c>
      <c r="E3" s="10" t="n">
        <v>0.949</v>
      </c>
      <c r="F3" s="10" t="n">
        <v>0.949</v>
      </c>
      <c r="G3" s="10" t="n">
        <v>0.949</v>
      </c>
      <c r="H3" s="10" t="n">
        <v>0.696</v>
      </c>
      <c r="I3" s="10" t="n">
        <v>0.499</v>
      </c>
      <c r="J3" s="10" t="n">
        <v>0.532</v>
      </c>
      <c r="K3" s="3" t="n">
        <v>1</v>
      </c>
      <c r="L3" s="3" t="n">
        <v>1</v>
      </c>
      <c r="M3" s="3" t="n">
        <v>1</v>
      </c>
    </row>
    <row r="4">
      <c r="A4" s="3" t="inlineStr">
        <is>
          <t>1XKK</t>
        </is>
      </c>
      <c r="B4" s="3" t="inlineStr">
        <is>
          <t>Lapatinib</t>
        </is>
      </c>
      <c r="C4" s="3" t="inlineStr">
        <is>
          <t>FMM+a</t>
        </is>
      </c>
      <c r="D4" s="10" t="n">
        <v>2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3" t="n">
        <v>1</v>
      </c>
      <c r="L4" s="3" t="n">
        <v>1</v>
      </c>
      <c r="M4" s="3" t="n">
        <v>1</v>
      </c>
    </row>
    <row r="5">
      <c r="A5" s="3" t="inlineStr">
        <is>
          <t>1XKK</t>
        </is>
      </c>
      <c r="B5" s="3" t="inlineStr">
        <is>
          <t>Lapatinib</t>
        </is>
      </c>
      <c r="C5" s="3" t="inlineStr">
        <is>
          <t>FMM01</t>
        </is>
      </c>
      <c r="D5" s="10" t="n">
        <v>-0</v>
      </c>
      <c r="E5" s="10" t="n">
        <v>0.051</v>
      </c>
      <c r="F5" s="10" t="n">
        <v>0.051</v>
      </c>
      <c r="G5" s="10" t="n">
        <v>0.051</v>
      </c>
      <c r="H5" s="10" t="n">
        <v>0.304</v>
      </c>
      <c r="I5" s="10" t="n">
        <v>0.501</v>
      </c>
      <c r="J5" s="10" t="n">
        <v>0.468</v>
      </c>
      <c r="K5" s="3" t="n">
        <v>2</v>
      </c>
      <c r="L5" s="3" t="n">
        <v>3</v>
      </c>
      <c r="M5" s="3" t="n">
        <v>2</v>
      </c>
    </row>
    <row r="6">
      <c r="A6" s="3" t="inlineStr">
        <is>
          <t>2EUF</t>
        </is>
      </c>
      <c r="B6" s="3" t="inlineStr">
        <is>
          <t>Palbociclib</t>
        </is>
      </c>
      <c r="C6" s="3" t="inlineStr">
        <is>
          <t>LQQ+1</t>
        </is>
      </c>
      <c r="D6" s="10" t="n">
        <v>1</v>
      </c>
      <c r="E6" s="10" t="n">
        <v>0.975</v>
      </c>
      <c r="F6" s="10" t="n">
        <v>0.975</v>
      </c>
      <c r="G6" s="10" t="n">
        <v>0.975</v>
      </c>
      <c r="H6" s="10" t="n">
        <v>0.999</v>
      </c>
      <c r="I6" s="10" t="n">
        <v>1</v>
      </c>
      <c r="J6" s="10" t="n">
        <v>1</v>
      </c>
      <c r="K6" s="3" t="n">
        <v>1</v>
      </c>
      <c r="L6" s="3" t="n">
        <v>1</v>
      </c>
      <c r="M6" s="3" t="n">
        <v>1</v>
      </c>
    </row>
    <row r="7">
      <c r="A7" s="3" t="inlineStr">
        <is>
          <t>2EUF</t>
        </is>
      </c>
      <c r="B7" s="3" t="inlineStr">
        <is>
          <t>Palbociclib</t>
        </is>
      </c>
      <c r="C7" s="3" t="inlineStr">
        <is>
          <t>LQQ01</t>
        </is>
      </c>
      <c r="D7" s="10" t="n">
        <v>0</v>
      </c>
      <c r="E7" s="10" t="n">
        <v>0.025</v>
      </c>
      <c r="F7" s="10" t="n">
        <v>0.025</v>
      </c>
      <c r="G7" s="10" t="n">
        <v>0.025</v>
      </c>
      <c r="H7" s="10" t="n">
        <v>0.001</v>
      </c>
      <c r="I7" s="10" t="n">
        <v>0</v>
      </c>
      <c r="J7" s="10" t="n">
        <v>0</v>
      </c>
      <c r="K7" s="3" t="n">
        <v>1</v>
      </c>
      <c r="L7" s="3" t="n">
        <v>1</v>
      </c>
      <c r="M7" s="3" t="n">
        <v>1</v>
      </c>
    </row>
    <row r="8">
      <c r="A8" s="3" t="inlineStr">
        <is>
          <t>2HYY</t>
        </is>
      </c>
      <c r="B8" s="3" t="inlineStr">
        <is>
          <t>Imatinib</t>
        </is>
      </c>
      <c r="C8" s="3" t="inlineStr">
        <is>
          <t>STI+1</t>
        </is>
      </c>
      <c r="D8" s="10" t="n">
        <v>1.004</v>
      </c>
      <c r="E8" s="10" t="n">
        <v>0.588</v>
      </c>
      <c r="F8" s="10" t="n">
        <v>0.588</v>
      </c>
      <c r="G8" s="10" t="n">
        <v>0.588</v>
      </c>
      <c r="H8" s="10" t="n">
        <v>0</v>
      </c>
      <c r="I8" s="10" t="n">
        <v>0</v>
      </c>
      <c r="J8" s="10" t="n">
        <v>0.003</v>
      </c>
      <c r="K8" s="3" t="n">
        <v>1</v>
      </c>
      <c r="L8" s="3" t="n">
        <v>1</v>
      </c>
      <c r="M8" s="3" t="n">
        <v>1</v>
      </c>
    </row>
    <row r="9">
      <c r="A9" s="3" t="inlineStr">
        <is>
          <t>2HYY</t>
        </is>
      </c>
      <c r="B9" s="3" t="inlineStr">
        <is>
          <t>Imatinib</t>
        </is>
      </c>
      <c r="C9" s="3" t="inlineStr">
        <is>
          <t>STI+2</t>
        </is>
      </c>
      <c r="D9" s="10" t="n">
        <v>0.995</v>
      </c>
      <c r="E9" s="10" t="n">
        <v>0.38</v>
      </c>
      <c r="F9" s="10" t="n">
        <v>0.38</v>
      </c>
      <c r="G9" s="10" t="n">
        <v>0.38</v>
      </c>
      <c r="H9" s="10" t="n">
        <v>1</v>
      </c>
      <c r="I9" s="10" t="n">
        <v>1</v>
      </c>
      <c r="J9" s="10" t="n">
        <v>0.997</v>
      </c>
      <c r="K9" s="3" t="n">
        <v>1</v>
      </c>
      <c r="L9" s="3" t="n">
        <v>1</v>
      </c>
      <c r="M9" s="3" t="n">
        <v>1</v>
      </c>
    </row>
    <row r="10">
      <c r="A10" s="3" t="inlineStr">
        <is>
          <t>2HYY</t>
        </is>
      </c>
      <c r="B10" s="3" t="inlineStr">
        <is>
          <t>Imatinib</t>
        </is>
      </c>
      <c r="C10" s="3" t="inlineStr">
        <is>
          <t>STI+a</t>
        </is>
      </c>
      <c r="D10" s="10" t="n">
        <v>1.995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3" t="n">
        <v>1</v>
      </c>
      <c r="L10" s="3" t="n">
        <v>1</v>
      </c>
      <c r="M10" s="3" t="n">
        <v>1</v>
      </c>
    </row>
    <row r="11">
      <c r="A11" s="3" t="inlineStr">
        <is>
          <t>2HYY</t>
        </is>
      </c>
      <c r="B11" s="3" t="inlineStr">
        <is>
          <t>Imatinib</t>
        </is>
      </c>
      <c r="C11" s="3" t="inlineStr">
        <is>
          <t>STI+b</t>
        </is>
      </c>
      <c r="D11" s="10" t="n">
        <v>2.002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3" t="n">
        <v>1</v>
      </c>
      <c r="L11" s="3" t="n">
        <v>1</v>
      </c>
      <c r="M11" s="3" t="n">
        <v>1</v>
      </c>
    </row>
    <row r="12">
      <c r="A12" s="3" t="inlineStr">
        <is>
          <t>2HYY</t>
        </is>
      </c>
      <c r="B12" s="3" t="inlineStr">
        <is>
          <t>Imatinib</t>
        </is>
      </c>
      <c r="C12" s="3" t="inlineStr">
        <is>
          <t>STI01</t>
        </is>
      </c>
      <c r="D12" s="10" t="n">
        <v>-0.002</v>
      </c>
      <c r="E12" s="10" t="n">
        <v>0.032</v>
      </c>
      <c r="F12" s="10" t="n">
        <v>0.032</v>
      </c>
      <c r="G12" s="10" t="n">
        <v>0.032</v>
      </c>
      <c r="H12" s="10" t="n">
        <v>0</v>
      </c>
      <c r="I12" s="10" t="n">
        <v>0</v>
      </c>
      <c r="J12" s="10" t="n">
        <v>0</v>
      </c>
      <c r="K12" s="3" t="n">
        <v>1</v>
      </c>
      <c r="L12" s="3" t="n">
        <v>1</v>
      </c>
      <c r="M12" s="3" t="n">
        <v>1</v>
      </c>
    </row>
    <row r="13">
      <c r="A13" s="3" t="inlineStr">
        <is>
          <t>2ITO</t>
        </is>
      </c>
      <c r="B13" s="3" t="inlineStr">
        <is>
          <t>Gefitinib</t>
        </is>
      </c>
      <c r="C13" s="3" t="inlineStr">
        <is>
          <t>IRE+1</t>
        </is>
      </c>
      <c r="D13" s="10" t="n">
        <v>1</v>
      </c>
      <c r="E13" s="10" t="n">
        <v>0.298</v>
      </c>
      <c r="F13" s="10" t="n">
        <v>0.298</v>
      </c>
      <c r="G13" s="10" t="n">
        <v>0.298</v>
      </c>
      <c r="H13" s="10" t="n">
        <v>0.75</v>
      </c>
      <c r="I13" s="10" t="n">
        <v>0.802</v>
      </c>
      <c r="J13" s="10" t="n">
        <v>0.797</v>
      </c>
      <c r="K13" s="3" t="n">
        <v>1</v>
      </c>
      <c r="L13" s="3" t="n">
        <v>1</v>
      </c>
      <c r="M13" s="3" t="n">
        <v>1</v>
      </c>
    </row>
    <row r="14">
      <c r="A14" s="3" t="inlineStr">
        <is>
          <t>2ITO</t>
        </is>
      </c>
      <c r="B14" s="3" t="inlineStr">
        <is>
          <t>Gefitinib</t>
        </is>
      </c>
      <c r="C14" s="3" t="inlineStr">
        <is>
          <t>IRE+2</t>
        </is>
      </c>
      <c r="D14" s="10" t="n">
        <v>1</v>
      </c>
      <c r="E14" s="10" t="n">
        <v>0.002</v>
      </c>
      <c r="F14" s="10" t="n">
        <v>0.002</v>
      </c>
      <c r="G14" s="10" t="n">
        <v>0.002</v>
      </c>
      <c r="H14" s="10" t="n">
        <v>0</v>
      </c>
      <c r="I14" s="10" t="n">
        <v>0</v>
      </c>
      <c r="J14" s="10" t="n">
        <v>0</v>
      </c>
      <c r="K14" s="3" t="n">
        <v>1</v>
      </c>
      <c r="L14" s="3" t="n">
        <v>1</v>
      </c>
      <c r="M14" s="3" t="n">
        <v>1</v>
      </c>
    </row>
    <row r="15">
      <c r="A15" s="3" t="inlineStr">
        <is>
          <t>2ITO</t>
        </is>
      </c>
      <c r="B15" s="3" t="inlineStr">
        <is>
          <t>Gefitinib</t>
        </is>
      </c>
      <c r="C15" s="3" t="inlineStr">
        <is>
          <t>IRE+3</t>
        </is>
      </c>
      <c r="D15" s="10" t="n">
        <v>1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3" t="n">
        <v>1</v>
      </c>
      <c r="L15" s="3" t="n">
        <v>1</v>
      </c>
      <c r="M15" s="3" t="n">
        <v>1</v>
      </c>
    </row>
    <row r="16">
      <c r="A16" s="3" t="inlineStr">
        <is>
          <t>2ITO</t>
        </is>
      </c>
      <c r="B16" s="3" t="inlineStr">
        <is>
          <t>Gefitinib</t>
        </is>
      </c>
      <c r="C16" s="3" t="inlineStr">
        <is>
          <t>IRE+a</t>
        </is>
      </c>
      <c r="D16" s="10" t="n">
        <v>2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3" t="n">
        <v>1</v>
      </c>
      <c r="L16" s="3" t="n">
        <v>1</v>
      </c>
      <c r="M16" s="3" t="n">
        <v>1</v>
      </c>
    </row>
    <row r="17">
      <c r="A17" s="3" t="inlineStr">
        <is>
          <t>2ITO</t>
        </is>
      </c>
      <c r="B17" s="3" t="inlineStr">
        <is>
          <t>Gefitinib</t>
        </is>
      </c>
      <c r="C17" s="3" t="inlineStr">
        <is>
          <t>IRE01</t>
        </is>
      </c>
      <c r="D17" s="10" t="n">
        <v>-0</v>
      </c>
      <c r="E17" s="10" t="n">
        <v>0.7</v>
      </c>
      <c r="F17" s="10" t="n">
        <v>0.7</v>
      </c>
      <c r="G17" s="10" t="n">
        <v>0.7</v>
      </c>
      <c r="H17" s="10" t="n">
        <v>0.25</v>
      </c>
      <c r="I17" s="10" t="n">
        <v>0.198</v>
      </c>
      <c r="J17" s="10" t="n">
        <v>0.203</v>
      </c>
      <c r="K17" s="3" t="n">
        <v>1</v>
      </c>
      <c r="L17" s="3" t="n">
        <v>1</v>
      </c>
      <c r="M17" s="3" t="n">
        <v>1</v>
      </c>
    </row>
    <row r="18">
      <c r="A18" s="3" t="inlineStr">
        <is>
          <t>2ITY</t>
        </is>
      </c>
      <c r="B18" s="3" t="inlineStr">
        <is>
          <t>Gefitinib</t>
        </is>
      </c>
      <c r="C18" s="3" t="inlineStr">
        <is>
          <t>IRE+1</t>
        </is>
      </c>
      <c r="D18" s="10" t="n">
        <v>1</v>
      </c>
      <c r="E18" s="10" t="n">
        <v>0.298</v>
      </c>
      <c r="F18" s="10" t="n">
        <v>0.298</v>
      </c>
      <c r="G18" s="10" t="n">
        <v>0.298</v>
      </c>
      <c r="H18" s="10" t="n">
        <v>0.349</v>
      </c>
      <c r="I18" s="10" t="n">
        <v>0.348</v>
      </c>
      <c r="J18" s="10" t="n">
        <v>0.352</v>
      </c>
      <c r="K18" s="3" t="n">
        <v>1</v>
      </c>
      <c r="L18" s="3" t="n">
        <v>1</v>
      </c>
      <c r="M18" s="3" t="n">
        <v>1</v>
      </c>
    </row>
    <row r="19">
      <c r="A19" s="3" t="inlineStr">
        <is>
          <t>2ITY</t>
        </is>
      </c>
      <c r="B19" s="3" t="inlineStr">
        <is>
          <t>Gefitinib</t>
        </is>
      </c>
      <c r="C19" s="3" t="inlineStr">
        <is>
          <t>IRE+2</t>
        </is>
      </c>
      <c r="D19" s="10" t="n">
        <v>1</v>
      </c>
      <c r="E19" s="10" t="n">
        <v>0.002</v>
      </c>
      <c r="F19" s="10" t="n">
        <v>0.002</v>
      </c>
      <c r="G19" s="10" t="n">
        <v>0.002</v>
      </c>
      <c r="H19" s="10" t="n">
        <v>0</v>
      </c>
      <c r="I19" s="10" t="n">
        <v>0</v>
      </c>
      <c r="J19" s="10" t="n">
        <v>0</v>
      </c>
      <c r="K19" s="3" t="n">
        <v>1</v>
      </c>
      <c r="L19" s="3" t="n">
        <v>1</v>
      </c>
      <c r="M19" s="3" t="n">
        <v>1</v>
      </c>
    </row>
    <row r="20">
      <c r="A20" s="3" t="inlineStr">
        <is>
          <t>2ITY</t>
        </is>
      </c>
      <c r="B20" s="3" t="inlineStr">
        <is>
          <t>Gefitinib</t>
        </is>
      </c>
      <c r="C20" s="3" t="inlineStr">
        <is>
          <t>IRE+3</t>
        </is>
      </c>
      <c r="D20" s="10" t="n">
        <v>1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3" t="n">
        <v>1</v>
      </c>
      <c r="L20" s="3" t="n">
        <v>1</v>
      </c>
      <c r="M20" s="3" t="n">
        <v>1</v>
      </c>
    </row>
    <row r="21">
      <c r="A21" s="3" t="inlineStr">
        <is>
          <t>2ITY</t>
        </is>
      </c>
      <c r="B21" s="3" t="inlineStr">
        <is>
          <t>Gefitinib</t>
        </is>
      </c>
      <c r="C21" s="3" t="inlineStr">
        <is>
          <t>IRE+a</t>
        </is>
      </c>
      <c r="D21" s="10" t="n">
        <v>2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3" t="n">
        <v>1</v>
      </c>
      <c r="L21" s="3" t="n">
        <v>1</v>
      </c>
      <c r="M21" s="3" t="n">
        <v>1</v>
      </c>
    </row>
    <row r="22">
      <c r="A22" s="3" t="inlineStr">
        <is>
          <t>2ITY</t>
        </is>
      </c>
      <c r="B22" s="3" t="inlineStr">
        <is>
          <t>Gefitinib</t>
        </is>
      </c>
      <c r="C22" s="3" t="inlineStr">
        <is>
          <t>IRE01</t>
        </is>
      </c>
      <c r="D22" s="10" t="n">
        <v>-0</v>
      </c>
      <c r="E22" s="10" t="n">
        <v>0.7</v>
      </c>
      <c r="F22" s="10" t="n">
        <v>0.7</v>
      </c>
      <c r="G22" s="10" t="n">
        <v>0.7</v>
      </c>
      <c r="H22" s="10" t="n">
        <v>0.651</v>
      </c>
      <c r="I22" s="10" t="n">
        <v>0.652</v>
      </c>
      <c r="J22" s="10" t="n">
        <v>0.648</v>
      </c>
      <c r="K22" s="3" t="n">
        <v>1</v>
      </c>
      <c r="L22" s="3" t="n">
        <v>1</v>
      </c>
      <c r="M22" s="3" t="n">
        <v>1</v>
      </c>
    </row>
    <row r="23">
      <c r="A23" s="3" t="inlineStr">
        <is>
          <t>2ITZ</t>
        </is>
      </c>
      <c r="B23" s="3" t="inlineStr">
        <is>
          <t>Gefitinib</t>
        </is>
      </c>
      <c r="C23" s="3" t="inlineStr">
        <is>
          <t>IRE+1</t>
        </is>
      </c>
      <c r="D23" s="10" t="n">
        <v>1</v>
      </c>
      <c r="E23" s="10" t="n">
        <v>0.298</v>
      </c>
      <c r="F23" s="10" t="n">
        <v>0.298</v>
      </c>
      <c r="G23" s="10" t="n">
        <v>0.298</v>
      </c>
      <c r="H23" s="10" t="n">
        <v>0.639</v>
      </c>
      <c r="I23" s="10" t="n">
        <v>0.652</v>
      </c>
      <c r="J23" s="10" t="n">
        <v>0.663</v>
      </c>
      <c r="K23" s="3" t="n">
        <v>1</v>
      </c>
      <c r="L23" s="3" t="n">
        <v>1</v>
      </c>
      <c r="M23" s="3" t="n">
        <v>1</v>
      </c>
    </row>
    <row r="24">
      <c r="A24" s="3" t="inlineStr">
        <is>
          <t>2ITZ</t>
        </is>
      </c>
      <c r="B24" s="3" t="inlineStr">
        <is>
          <t>Gefitinib</t>
        </is>
      </c>
      <c r="C24" s="3" t="inlineStr">
        <is>
          <t>IRE+2</t>
        </is>
      </c>
      <c r="D24" s="10" t="n">
        <v>1</v>
      </c>
      <c r="E24" s="10" t="n">
        <v>0.002</v>
      </c>
      <c r="F24" s="10" t="n">
        <v>0.002</v>
      </c>
      <c r="G24" s="10" t="n">
        <v>0.002</v>
      </c>
      <c r="H24" s="10" t="n">
        <v>0</v>
      </c>
      <c r="I24" s="10" t="n">
        <v>0</v>
      </c>
      <c r="J24" s="10" t="n">
        <v>0</v>
      </c>
      <c r="K24" s="3" t="n">
        <v>1</v>
      </c>
      <c r="L24" s="3" t="n">
        <v>1</v>
      </c>
      <c r="M24" s="3" t="n">
        <v>1</v>
      </c>
    </row>
    <row r="25">
      <c r="A25" s="3" t="inlineStr">
        <is>
          <t>2ITZ</t>
        </is>
      </c>
      <c r="B25" s="3" t="inlineStr">
        <is>
          <t>Gefitinib</t>
        </is>
      </c>
      <c r="C25" s="3" t="inlineStr">
        <is>
          <t>IRE+3</t>
        </is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3" t="n">
        <v>1</v>
      </c>
      <c r="L25" s="3" t="n">
        <v>1</v>
      </c>
      <c r="M25" s="3" t="n">
        <v>1</v>
      </c>
    </row>
    <row r="26">
      <c r="A26" s="3" t="inlineStr">
        <is>
          <t>2ITZ</t>
        </is>
      </c>
      <c r="B26" s="3" t="inlineStr">
        <is>
          <t>Gefitinib</t>
        </is>
      </c>
      <c r="C26" s="3" t="inlineStr">
        <is>
          <t>IRE+a</t>
        </is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3" t="n">
        <v>1</v>
      </c>
      <c r="L26" s="3" t="n">
        <v>1</v>
      </c>
      <c r="M26" s="3" t="n">
        <v>1</v>
      </c>
    </row>
    <row r="27">
      <c r="A27" s="3" t="inlineStr">
        <is>
          <t>2ITZ</t>
        </is>
      </c>
      <c r="B27" s="3" t="inlineStr">
        <is>
          <t>Gefitinib</t>
        </is>
      </c>
      <c r="C27" s="3" t="inlineStr">
        <is>
          <t>IRE01</t>
        </is>
      </c>
      <c r="D27" s="10" t="n">
        <v>-0</v>
      </c>
      <c r="E27" s="10" t="n">
        <v>0.7</v>
      </c>
      <c r="F27" s="10" t="n">
        <v>0.7</v>
      </c>
      <c r="G27" s="10" t="n">
        <v>0.7</v>
      </c>
      <c r="H27" s="10" t="n">
        <v>0.361</v>
      </c>
      <c r="I27" s="10" t="n">
        <v>0.348</v>
      </c>
      <c r="J27" s="10" t="n">
        <v>0.337</v>
      </c>
      <c r="K27" s="3" t="n">
        <v>1</v>
      </c>
      <c r="L27" s="3" t="n">
        <v>1</v>
      </c>
      <c r="M27" s="3" t="n">
        <v>1</v>
      </c>
    </row>
    <row r="28">
      <c r="A28" s="3" t="inlineStr">
        <is>
          <t>2WGJ</t>
        </is>
      </c>
      <c r="B28" s="3" t="inlineStr">
        <is>
          <t>Crizotinib</t>
        </is>
      </c>
      <c r="C28" s="3" t="inlineStr">
        <is>
          <t>VGH+1</t>
        </is>
      </c>
      <c r="D28" s="10" t="n">
        <v>1</v>
      </c>
      <c r="E28" s="10" t="n">
        <v>0.378</v>
      </c>
      <c r="F28" s="10" t="n">
        <v>0.378</v>
      </c>
      <c r="G28" s="10" t="n">
        <v>0.378</v>
      </c>
      <c r="H28" s="10" t="n">
        <v>0.959</v>
      </c>
      <c r="I28" s="10" t="n">
        <v>0.958</v>
      </c>
      <c r="J28" s="10" t="n">
        <v>0.967</v>
      </c>
      <c r="K28" s="3" t="n">
        <v>1</v>
      </c>
      <c r="L28" s="3" t="n">
        <v>1</v>
      </c>
      <c r="M28" s="3" t="n">
        <v>1</v>
      </c>
    </row>
    <row r="29">
      <c r="A29" s="3" t="inlineStr">
        <is>
          <t>2WGJ</t>
        </is>
      </c>
      <c r="B29" s="3" t="inlineStr">
        <is>
          <t>Crizotinib</t>
        </is>
      </c>
      <c r="C29" s="3" t="inlineStr">
        <is>
          <t>VGH+2</t>
        </is>
      </c>
      <c r="D29" s="10" t="n">
        <v>1</v>
      </c>
      <c r="E29" s="10" t="n">
        <v>0.002</v>
      </c>
      <c r="F29" s="10" t="n">
        <v>0.002</v>
      </c>
      <c r="G29" s="10" t="n">
        <v>0.002</v>
      </c>
      <c r="H29" s="10" t="n">
        <v>0</v>
      </c>
      <c r="I29" s="10" t="n">
        <v>0</v>
      </c>
      <c r="J29" s="10" t="n">
        <v>0</v>
      </c>
      <c r="K29" s="3" t="n">
        <v>1</v>
      </c>
      <c r="L29" s="3" t="n">
        <v>1</v>
      </c>
      <c r="M29" s="3" t="n">
        <v>1</v>
      </c>
    </row>
    <row r="30">
      <c r="A30" s="3" t="inlineStr">
        <is>
          <t>2WGJ</t>
        </is>
      </c>
      <c r="B30" s="3" t="inlineStr">
        <is>
          <t>Crizotinib</t>
        </is>
      </c>
      <c r="C30" s="3" t="inlineStr">
        <is>
          <t>VGH+a</t>
        </is>
      </c>
      <c r="D30" s="10" t="n">
        <v>2</v>
      </c>
      <c r="E30" s="10" t="n">
        <v>0.615</v>
      </c>
      <c r="F30" s="10" t="n">
        <v>0.615</v>
      </c>
      <c r="G30" s="10" t="n">
        <v>0.615</v>
      </c>
      <c r="H30" s="10" t="n">
        <v>0</v>
      </c>
      <c r="I30" s="10" t="n">
        <v>0</v>
      </c>
      <c r="J30" s="10" t="n">
        <v>0</v>
      </c>
      <c r="K30" s="3" t="n">
        <v>2</v>
      </c>
      <c r="L30" s="3" t="n">
        <v>1</v>
      </c>
      <c r="M30" s="3" t="n">
        <v>1</v>
      </c>
    </row>
    <row r="31">
      <c r="A31" s="3" t="inlineStr">
        <is>
          <t>2WGJ</t>
        </is>
      </c>
      <c r="B31" s="3" t="inlineStr">
        <is>
          <t>Crizotinib</t>
        </is>
      </c>
      <c r="C31" s="3" t="inlineStr">
        <is>
          <t>VGH01</t>
        </is>
      </c>
      <c r="D31" s="10" t="n">
        <v>0</v>
      </c>
      <c r="E31" s="10" t="n">
        <v>0.005</v>
      </c>
      <c r="F31" s="10" t="n">
        <v>0.005</v>
      </c>
      <c r="G31" s="10" t="n">
        <v>0.005</v>
      </c>
      <c r="H31" s="10" t="n">
        <v>0.041</v>
      </c>
      <c r="I31" s="10" t="n">
        <v>0.042</v>
      </c>
      <c r="J31" s="10" t="n">
        <v>0.033</v>
      </c>
      <c r="K31" s="3" t="n">
        <v>1</v>
      </c>
      <c r="L31" s="3" t="n">
        <v>1</v>
      </c>
      <c r="M31" s="3" t="n">
        <v>1</v>
      </c>
    </row>
    <row r="32">
      <c r="A32" s="3" t="inlineStr">
        <is>
          <t>2XP2</t>
        </is>
      </c>
      <c r="B32" s="3" t="inlineStr">
        <is>
          <t>Crizotinib</t>
        </is>
      </c>
      <c r="C32" s="3" t="inlineStr">
        <is>
          <t>VGH+1</t>
        </is>
      </c>
      <c r="D32" s="10" t="n">
        <v>1</v>
      </c>
      <c r="E32" s="10" t="n">
        <v>0.378</v>
      </c>
      <c r="F32" s="10" t="n">
        <v>0.378</v>
      </c>
      <c r="G32" s="10" t="n">
        <v>0.378</v>
      </c>
      <c r="H32" s="10" t="n">
        <v>1</v>
      </c>
      <c r="I32" s="10" t="n">
        <v>1</v>
      </c>
      <c r="J32" s="10" t="n">
        <v>1</v>
      </c>
      <c r="K32" s="3" t="n">
        <v>1</v>
      </c>
      <c r="L32" s="3" t="n">
        <v>1</v>
      </c>
      <c r="M32" s="3" t="n">
        <v>1</v>
      </c>
    </row>
    <row r="33">
      <c r="A33" s="3" t="inlineStr">
        <is>
          <t>2XP2</t>
        </is>
      </c>
      <c r="B33" s="3" t="inlineStr">
        <is>
          <t>Crizotinib</t>
        </is>
      </c>
      <c r="C33" s="3" t="inlineStr">
        <is>
          <t>VGH+2</t>
        </is>
      </c>
      <c r="D33" s="10" t="n">
        <v>1</v>
      </c>
      <c r="E33" s="10" t="n">
        <v>0.002</v>
      </c>
      <c r="F33" s="10" t="n">
        <v>0.002</v>
      </c>
      <c r="G33" s="10" t="n">
        <v>0.002</v>
      </c>
      <c r="H33" s="10" t="n">
        <v>0</v>
      </c>
      <c r="I33" s="10" t="n">
        <v>0</v>
      </c>
      <c r="J33" s="10" t="n">
        <v>0</v>
      </c>
      <c r="K33" s="3" t="n">
        <v>1</v>
      </c>
      <c r="L33" s="3" t="n">
        <v>1</v>
      </c>
      <c r="M33" s="3" t="n">
        <v>1</v>
      </c>
    </row>
    <row r="34">
      <c r="A34" s="3" t="inlineStr">
        <is>
          <t>2XP2</t>
        </is>
      </c>
      <c r="B34" s="3" t="inlineStr">
        <is>
          <t>Crizotinib</t>
        </is>
      </c>
      <c r="C34" s="3" t="inlineStr">
        <is>
          <t>VGH+a</t>
        </is>
      </c>
      <c r="D34" s="10" t="n">
        <v>2</v>
      </c>
      <c r="E34" s="10" t="n">
        <v>0.615</v>
      </c>
      <c r="F34" s="10" t="n">
        <v>0.615</v>
      </c>
      <c r="G34" s="10" t="n">
        <v>0.615</v>
      </c>
      <c r="H34" s="10" t="n">
        <v>0</v>
      </c>
      <c r="I34" s="10" t="n">
        <v>0</v>
      </c>
      <c r="J34" s="10" t="n">
        <v>0</v>
      </c>
      <c r="K34" s="3" t="n">
        <v>1</v>
      </c>
      <c r="L34" s="3" t="n">
        <v>1</v>
      </c>
      <c r="M34" s="3" t="n">
        <v>1</v>
      </c>
    </row>
    <row r="35">
      <c r="A35" s="3" t="inlineStr">
        <is>
          <t>2XP2</t>
        </is>
      </c>
      <c r="B35" s="3" t="inlineStr">
        <is>
          <t>Crizotinib</t>
        </is>
      </c>
      <c r="C35" s="3" t="inlineStr">
        <is>
          <t>VGH01</t>
        </is>
      </c>
      <c r="D35" s="10" t="n">
        <v>0</v>
      </c>
      <c r="E35" s="10" t="n">
        <v>0.005</v>
      </c>
      <c r="F35" s="10" t="n">
        <v>0.005</v>
      </c>
      <c r="G35" s="10" t="n">
        <v>0.005</v>
      </c>
      <c r="H35" s="10" t="n">
        <v>0</v>
      </c>
      <c r="I35" s="10" t="n">
        <v>0</v>
      </c>
      <c r="J35" s="10" t="n">
        <v>0</v>
      </c>
      <c r="K35" s="3" t="n">
        <v>1</v>
      </c>
      <c r="L35" s="3" t="n">
        <v>1</v>
      </c>
      <c r="M35" s="3" t="n">
        <v>1</v>
      </c>
    </row>
    <row r="36">
      <c r="A36" s="3" t="inlineStr">
        <is>
          <t>2YFX</t>
        </is>
      </c>
      <c r="B36" s="3" t="inlineStr">
        <is>
          <t>Crizotinib</t>
        </is>
      </c>
      <c r="C36" s="3" t="inlineStr">
        <is>
          <t>VGH+1</t>
        </is>
      </c>
      <c r="D36" s="10" t="n">
        <v>1</v>
      </c>
      <c r="E36" s="10" t="n">
        <v>0.378</v>
      </c>
      <c r="F36" s="10" t="n">
        <v>0.378</v>
      </c>
      <c r="G36" s="10" t="n">
        <v>0.378</v>
      </c>
      <c r="H36" s="10" t="n">
        <v>1</v>
      </c>
      <c r="I36" s="10" t="n">
        <v>1</v>
      </c>
      <c r="J36" s="10" t="n">
        <v>1</v>
      </c>
      <c r="K36" s="3" t="n">
        <v>1</v>
      </c>
      <c r="L36" s="3" t="n">
        <v>1</v>
      </c>
      <c r="M36" s="3" t="n">
        <v>1</v>
      </c>
    </row>
    <row r="37">
      <c r="A37" s="3" t="inlineStr">
        <is>
          <t>2YFX</t>
        </is>
      </c>
      <c r="B37" s="3" t="inlineStr">
        <is>
          <t>Crizotinib</t>
        </is>
      </c>
      <c r="C37" s="3" t="inlineStr">
        <is>
          <t>VGH+2</t>
        </is>
      </c>
      <c r="D37" s="10" t="n">
        <v>1</v>
      </c>
      <c r="E37" s="10" t="n">
        <v>0.002</v>
      </c>
      <c r="F37" s="10" t="n">
        <v>0.002</v>
      </c>
      <c r="G37" s="10" t="n">
        <v>0.002</v>
      </c>
      <c r="H37" s="10" t="n">
        <v>0</v>
      </c>
      <c r="I37" s="10" t="n">
        <v>0</v>
      </c>
      <c r="J37" s="10" t="n">
        <v>0</v>
      </c>
      <c r="K37" s="3" t="n">
        <v>1</v>
      </c>
      <c r="L37" s="3" t="n">
        <v>1</v>
      </c>
      <c r="M37" s="3" t="n">
        <v>1</v>
      </c>
    </row>
    <row r="38">
      <c r="A38" s="3" t="inlineStr">
        <is>
          <t>2YFX</t>
        </is>
      </c>
      <c r="B38" s="3" t="inlineStr">
        <is>
          <t>Crizotinib</t>
        </is>
      </c>
      <c r="C38" s="3" t="inlineStr">
        <is>
          <t>VGH+a</t>
        </is>
      </c>
      <c r="D38" s="10" t="n">
        <v>2</v>
      </c>
      <c r="E38" s="10" t="n">
        <v>0.615</v>
      </c>
      <c r="F38" s="10" t="n">
        <v>0.615</v>
      </c>
      <c r="G38" s="10" t="n">
        <v>0.615</v>
      </c>
      <c r="H38" s="10" t="n">
        <v>0</v>
      </c>
      <c r="I38" s="10" t="n">
        <v>0</v>
      </c>
      <c r="J38" s="10" t="n">
        <v>0</v>
      </c>
      <c r="K38" s="3" t="n">
        <v>2</v>
      </c>
      <c r="L38" s="3" t="n">
        <v>1</v>
      </c>
      <c r="M38" s="3" t="n">
        <v>1</v>
      </c>
    </row>
    <row r="39">
      <c r="A39" s="3" t="inlineStr">
        <is>
          <t>2YFX</t>
        </is>
      </c>
      <c r="B39" s="3" t="inlineStr">
        <is>
          <t>Crizotinib</t>
        </is>
      </c>
      <c r="C39" s="3" t="inlineStr">
        <is>
          <t>VGH01</t>
        </is>
      </c>
      <c r="D39" s="10" t="n">
        <v>0</v>
      </c>
      <c r="E39" s="10" t="n">
        <v>0.005</v>
      </c>
      <c r="F39" s="10" t="n">
        <v>0.005</v>
      </c>
      <c r="G39" s="10" t="n">
        <v>0.005</v>
      </c>
      <c r="H39" s="10" t="n">
        <v>0</v>
      </c>
      <c r="I39" s="10" t="n">
        <v>0</v>
      </c>
      <c r="J39" s="10" t="n">
        <v>0</v>
      </c>
      <c r="K39" s="3" t="n">
        <v>1</v>
      </c>
      <c r="L39" s="3" t="n">
        <v>1</v>
      </c>
      <c r="M39" s="3" t="n">
        <v>1</v>
      </c>
    </row>
    <row r="40">
      <c r="A40" s="3" t="inlineStr">
        <is>
          <t>3AOX</t>
        </is>
      </c>
      <c r="B40" s="3" t="inlineStr">
        <is>
          <t>Alectinib</t>
        </is>
      </c>
      <c r="C40" s="3" t="inlineStr">
        <is>
          <t>EMH+1</t>
        </is>
      </c>
      <c r="D40" s="10" t="n">
        <v>1</v>
      </c>
      <c r="E40" s="10" t="n">
        <v>0.5610000000000001</v>
      </c>
      <c r="F40" s="10" t="n">
        <v>0.5610000000000001</v>
      </c>
      <c r="G40" s="10" t="n">
        <v>0.5610000000000001</v>
      </c>
      <c r="H40" s="10" t="n">
        <v>0.79</v>
      </c>
      <c r="I40" s="10" t="n">
        <v>0.901</v>
      </c>
      <c r="J40" s="10" t="n">
        <v>0.788</v>
      </c>
      <c r="K40" s="3" t="n">
        <v>1</v>
      </c>
      <c r="L40" s="3" t="n">
        <v>1</v>
      </c>
      <c r="M40" s="3" t="n">
        <v>1</v>
      </c>
    </row>
    <row r="41">
      <c r="A41" s="3" t="inlineStr">
        <is>
          <t>3AOX</t>
        </is>
      </c>
      <c r="B41" s="3" t="inlineStr">
        <is>
          <t>Alectinib</t>
        </is>
      </c>
      <c r="C41" s="3" t="inlineStr">
        <is>
          <t>EMH01</t>
        </is>
      </c>
      <c r="D41" s="10" t="n">
        <v>-0</v>
      </c>
      <c r="E41" s="10" t="n">
        <v>0.439</v>
      </c>
      <c r="F41" s="10" t="n">
        <v>0.439</v>
      </c>
      <c r="G41" s="10" t="n">
        <v>0.439</v>
      </c>
      <c r="H41" s="10" t="n">
        <v>0.21</v>
      </c>
      <c r="I41" s="10" t="n">
        <v>0.099</v>
      </c>
      <c r="J41" s="10" t="n">
        <v>0.212</v>
      </c>
      <c r="K41" s="3" t="n">
        <v>1</v>
      </c>
      <c r="L41" s="3" t="n">
        <v>1</v>
      </c>
      <c r="M41" s="3" t="n">
        <v>2</v>
      </c>
    </row>
    <row r="42">
      <c r="A42" s="3" t="inlineStr">
        <is>
          <t>3CS9</t>
        </is>
      </c>
      <c r="B42" s="3" t="inlineStr">
        <is>
          <t>Nilotinib</t>
        </is>
      </c>
      <c r="C42" s="3" t="inlineStr">
        <is>
          <t>NIL+1</t>
        </is>
      </c>
      <c r="D42" s="10" t="n">
        <v>1</v>
      </c>
      <c r="E42" s="10" t="n">
        <v>0.093</v>
      </c>
      <c r="F42" s="10" t="n">
        <v>0.093</v>
      </c>
      <c r="G42" s="10" t="n">
        <v>0.093</v>
      </c>
      <c r="H42" s="10" t="n">
        <v>0.417</v>
      </c>
      <c r="I42" s="10" t="n">
        <v>0.629</v>
      </c>
      <c r="J42" s="10" t="n">
        <v>0.194</v>
      </c>
      <c r="K42" s="3" t="n">
        <v>1</v>
      </c>
      <c r="L42" s="3" t="n">
        <v>1</v>
      </c>
      <c r="M42" s="3" t="n">
        <v>1</v>
      </c>
    </row>
    <row r="43">
      <c r="A43" s="3" t="inlineStr">
        <is>
          <t>3CS9</t>
        </is>
      </c>
      <c r="B43" s="3" t="inlineStr">
        <is>
          <t>Nilotinib</t>
        </is>
      </c>
      <c r="C43" s="3" t="inlineStr">
        <is>
          <t>NIL+2</t>
        </is>
      </c>
      <c r="D43" s="10" t="n">
        <v>1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3" t="n">
        <v>1</v>
      </c>
      <c r="L43" s="3" t="n">
        <v>1</v>
      </c>
      <c r="M43" s="3" t="n">
        <v>1</v>
      </c>
    </row>
    <row r="44">
      <c r="A44" s="3" t="inlineStr">
        <is>
          <t>3CS9</t>
        </is>
      </c>
      <c r="B44" s="3" t="inlineStr">
        <is>
          <t>Nilotinib</t>
        </is>
      </c>
      <c r="C44" s="3" t="inlineStr">
        <is>
          <t>NIL01</t>
        </is>
      </c>
      <c r="D44" s="10" t="n">
        <v>-0</v>
      </c>
      <c r="E44" s="10" t="n">
        <v>0.907</v>
      </c>
      <c r="F44" s="10" t="n">
        <v>0.907</v>
      </c>
      <c r="G44" s="10" t="n">
        <v>0.907</v>
      </c>
      <c r="H44" s="10" t="n">
        <v>0.583</v>
      </c>
      <c r="I44" s="10" t="n">
        <v>0.371</v>
      </c>
      <c r="J44" s="10" t="n">
        <v>0.806</v>
      </c>
      <c r="K44" s="3" t="n">
        <v>1</v>
      </c>
      <c r="L44" s="3" t="n">
        <v>1</v>
      </c>
      <c r="M44" s="3" t="n">
        <v>2</v>
      </c>
    </row>
    <row r="45">
      <c r="A45" s="3" t="inlineStr">
        <is>
          <t>3LXK</t>
        </is>
      </c>
      <c r="B45" s="3" t="inlineStr">
        <is>
          <t>Tofacitinib</t>
        </is>
      </c>
      <c r="C45" s="3" t="inlineStr">
        <is>
          <t>MI1+1</t>
        </is>
      </c>
      <c r="D45" s="10" t="n">
        <v>1</v>
      </c>
      <c r="E45" s="10" t="n">
        <v>0.029</v>
      </c>
      <c r="F45" s="10" t="n">
        <v>0.029</v>
      </c>
      <c r="G45" s="10" t="n">
        <v>0.029</v>
      </c>
      <c r="H45" s="10" t="n">
        <v>0.047</v>
      </c>
      <c r="I45" s="10" t="n">
        <v>0.036</v>
      </c>
      <c r="J45" s="10" t="n">
        <v>0.045</v>
      </c>
      <c r="K45" s="3" t="n">
        <v>2</v>
      </c>
      <c r="L45" s="3" t="n">
        <v>2</v>
      </c>
      <c r="M45" s="3" t="n">
        <v>2</v>
      </c>
    </row>
    <row r="46">
      <c r="A46" s="3" t="inlineStr">
        <is>
          <t>3LXK</t>
        </is>
      </c>
      <c r="B46" s="3" t="inlineStr">
        <is>
          <t>Tofacitinib</t>
        </is>
      </c>
      <c r="C46" s="3" t="inlineStr">
        <is>
          <t>MI101</t>
        </is>
      </c>
      <c r="D46" s="10" t="n">
        <v>0</v>
      </c>
      <c r="E46" s="10" t="n">
        <v>0.971</v>
      </c>
      <c r="F46" s="10" t="n">
        <v>0.971</v>
      </c>
      <c r="G46" s="10" t="n">
        <v>0.971</v>
      </c>
      <c r="H46" s="10" t="n">
        <v>0.953</v>
      </c>
      <c r="I46" s="10" t="n">
        <v>0.964</v>
      </c>
      <c r="J46" s="10" t="n">
        <v>0.955</v>
      </c>
      <c r="K46" s="3" t="n">
        <v>3</v>
      </c>
      <c r="L46" s="3" t="n">
        <v>3</v>
      </c>
      <c r="M46" s="3" t="n">
        <v>3</v>
      </c>
    </row>
    <row r="47">
      <c r="A47" s="3" t="inlineStr">
        <is>
          <t>3PYY</t>
        </is>
      </c>
      <c r="B47" s="3" t="inlineStr">
        <is>
          <t>Imatinib</t>
        </is>
      </c>
      <c r="C47" s="3" t="inlineStr">
        <is>
          <t>STI+1</t>
        </is>
      </c>
      <c r="D47" s="10" t="n">
        <v>1.004</v>
      </c>
      <c r="E47" s="10" t="n">
        <v>0.588</v>
      </c>
      <c r="F47" s="10" t="n">
        <v>0.588</v>
      </c>
      <c r="G47" s="10" t="n">
        <v>0.588</v>
      </c>
      <c r="H47" s="10" t="n">
        <v>0.004</v>
      </c>
      <c r="I47" s="10" t="n">
        <v>0.003</v>
      </c>
      <c r="J47" s="10" t="n">
        <v>0.005</v>
      </c>
      <c r="K47" s="3" t="n">
        <v>1</v>
      </c>
      <c r="L47" s="3" t="n">
        <v>1</v>
      </c>
      <c r="M47" s="3" t="n">
        <v>1</v>
      </c>
    </row>
    <row r="48">
      <c r="A48" s="3" t="inlineStr">
        <is>
          <t>3PYY</t>
        </is>
      </c>
      <c r="B48" s="3" t="inlineStr">
        <is>
          <t>Imatinib</t>
        </is>
      </c>
      <c r="C48" s="3" t="inlineStr">
        <is>
          <t>STI+2</t>
        </is>
      </c>
      <c r="D48" s="10" t="n">
        <v>0.995</v>
      </c>
      <c r="E48" s="10" t="n">
        <v>0.38</v>
      </c>
      <c r="F48" s="10" t="n">
        <v>0.38</v>
      </c>
      <c r="G48" s="10" t="n">
        <v>0.38</v>
      </c>
      <c r="H48" s="10" t="n">
        <v>0.996</v>
      </c>
      <c r="I48" s="10" t="n">
        <v>0.997</v>
      </c>
      <c r="J48" s="10" t="n">
        <v>0.995</v>
      </c>
      <c r="K48" s="3" t="n">
        <v>1</v>
      </c>
      <c r="L48" s="3" t="n">
        <v>1</v>
      </c>
      <c r="M48" s="3" t="n">
        <v>1</v>
      </c>
    </row>
    <row r="49">
      <c r="A49" s="3" t="inlineStr">
        <is>
          <t>3PYY</t>
        </is>
      </c>
      <c r="B49" s="3" t="inlineStr">
        <is>
          <t>Imatinib</t>
        </is>
      </c>
      <c r="C49" s="3" t="inlineStr">
        <is>
          <t>STI+a</t>
        </is>
      </c>
      <c r="D49" s="10" t="n">
        <v>1.995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3" t="n">
        <v>1</v>
      </c>
      <c r="L49" s="3" t="n">
        <v>1</v>
      </c>
      <c r="M49" s="3" t="n">
        <v>1</v>
      </c>
    </row>
    <row r="50">
      <c r="A50" s="3" t="inlineStr">
        <is>
          <t>3PYY</t>
        </is>
      </c>
      <c r="B50" s="3" t="inlineStr">
        <is>
          <t>Imatinib</t>
        </is>
      </c>
      <c r="C50" s="3" t="inlineStr">
        <is>
          <t>STI+b</t>
        </is>
      </c>
      <c r="D50" s="10" t="n">
        <v>2.002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3" t="n">
        <v>1</v>
      </c>
      <c r="L50" s="3" t="n">
        <v>1</v>
      </c>
      <c r="M50" s="3" t="n">
        <v>1</v>
      </c>
    </row>
    <row r="51">
      <c r="A51" s="3" t="inlineStr">
        <is>
          <t>3PYY</t>
        </is>
      </c>
      <c r="B51" s="3" t="inlineStr">
        <is>
          <t>Imatinib</t>
        </is>
      </c>
      <c r="C51" s="3" t="inlineStr">
        <is>
          <t>STI01</t>
        </is>
      </c>
      <c r="D51" s="10" t="n">
        <v>-0.002</v>
      </c>
      <c r="E51" s="10" t="n">
        <v>0.032</v>
      </c>
      <c r="F51" s="10" t="n">
        <v>0.032</v>
      </c>
      <c r="G51" s="10" t="n">
        <v>0.032</v>
      </c>
      <c r="H51" s="10" t="n">
        <v>0</v>
      </c>
      <c r="I51" s="10" t="n">
        <v>0</v>
      </c>
      <c r="J51" s="10" t="n">
        <v>0</v>
      </c>
      <c r="K51" s="3" t="n">
        <v>1</v>
      </c>
      <c r="L51" s="3" t="n">
        <v>1</v>
      </c>
      <c r="M51" s="3" t="n">
        <v>1</v>
      </c>
    </row>
    <row r="52">
      <c r="A52" s="3" t="inlineStr">
        <is>
          <t>3UE4</t>
        </is>
      </c>
      <c r="B52" s="3" t="inlineStr">
        <is>
          <t>Bosutinib</t>
        </is>
      </c>
      <c r="C52" s="3" t="inlineStr">
        <is>
          <t>DB8+1</t>
        </is>
      </c>
      <c r="D52" s="10" t="n">
        <v>1</v>
      </c>
      <c r="E52" s="10" t="n">
        <v>0.888</v>
      </c>
      <c r="F52" s="10" t="n">
        <v>0.888</v>
      </c>
      <c r="G52" s="10" t="n">
        <v>0.888</v>
      </c>
      <c r="H52" s="10" t="n">
        <v>0.5620000000000001</v>
      </c>
      <c r="I52" s="10" t="n">
        <v>0.573</v>
      </c>
      <c r="J52" s="10" t="n">
        <v>0.5620000000000001</v>
      </c>
      <c r="K52" s="3" t="n">
        <v>1</v>
      </c>
      <c r="L52" s="3" t="n">
        <v>1</v>
      </c>
      <c r="M52" s="3" t="n">
        <v>1</v>
      </c>
    </row>
    <row r="53">
      <c r="A53" s="3" t="inlineStr">
        <is>
          <t>3UE4</t>
        </is>
      </c>
      <c r="B53" s="3" t="inlineStr">
        <is>
          <t>Bosutinib</t>
        </is>
      </c>
      <c r="C53" s="3" t="inlineStr">
        <is>
          <t>DB8+2</t>
        </is>
      </c>
      <c r="D53" s="10" t="n">
        <v>1</v>
      </c>
      <c r="E53" s="10" t="n">
        <v>0.057</v>
      </c>
      <c r="F53" s="10" t="n">
        <v>0.057</v>
      </c>
      <c r="G53" s="10" t="n">
        <v>0.057</v>
      </c>
      <c r="H53" s="10" t="n">
        <v>0.391</v>
      </c>
      <c r="I53" s="10" t="n">
        <v>0.382</v>
      </c>
      <c r="J53" s="10" t="n">
        <v>0.393</v>
      </c>
      <c r="K53" s="3" t="n">
        <v>1</v>
      </c>
      <c r="L53" s="3" t="n">
        <v>1</v>
      </c>
      <c r="M53" s="3" t="n">
        <v>1</v>
      </c>
    </row>
    <row r="54">
      <c r="A54" s="3" t="inlineStr">
        <is>
          <t>3UE4</t>
        </is>
      </c>
      <c r="B54" s="3" t="inlineStr">
        <is>
          <t>Bosutinib</t>
        </is>
      </c>
      <c r="C54" s="3" t="inlineStr">
        <is>
          <t>DB801</t>
        </is>
      </c>
      <c r="D54" s="10" t="n">
        <v>-0</v>
      </c>
      <c r="E54" s="10" t="n">
        <v>0.055</v>
      </c>
      <c r="F54" s="10" t="n">
        <v>0.055</v>
      </c>
      <c r="G54" s="10" t="n">
        <v>0.055</v>
      </c>
      <c r="H54" s="10" t="n">
        <v>0.047</v>
      </c>
      <c r="I54" s="10" t="n">
        <v>0.045</v>
      </c>
      <c r="J54" s="10" t="n">
        <v>0.045</v>
      </c>
      <c r="K54" s="3" t="n">
        <v>1</v>
      </c>
      <c r="L54" s="3" t="n">
        <v>1</v>
      </c>
      <c r="M54" s="3" t="n">
        <v>1</v>
      </c>
    </row>
    <row r="55">
      <c r="A55" s="3" t="inlineStr">
        <is>
          <t>3UE4</t>
        </is>
      </c>
      <c r="B55" s="3" t="inlineStr">
        <is>
          <t>Bosutinib</t>
        </is>
      </c>
      <c r="C55" s="3" t="inlineStr">
        <is>
          <t>DB802</t>
        </is>
      </c>
      <c r="D55" s="10" t="n">
        <v>-0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3" t="n">
        <v>1</v>
      </c>
      <c r="L55" s="3" t="n">
        <v>1</v>
      </c>
      <c r="M55" s="3" t="n">
        <v>1</v>
      </c>
    </row>
    <row r="56">
      <c r="A56" s="3" t="inlineStr">
        <is>
          <t>3UG2</t>
        </is>
      </c>
      <c r="B56" s="3" t="inlineStr">
        <is>
          <t>Gefitinib</t>
        </is>
      </c>
      <c r="C56" s="3" t="inlineStr">
        <is>
          <t>IRE+1</t>
        </is>
      </c>
      <c r="D56" s="10" t="n">
        <v>1</v>
      </c>
      <c r="E56" s="10" t="n">
        <v>0.298</v>
      </c>
      <c r="F56" s="10" t="n">
        <v>0.298</v>
      </c>
      <c r="G56" s="10" t="n">
        <v>0.298</v>
      </c>
      <c r="H56" s="10" t="n">
        <v>0</v>
      </c>
      <c r="I56" s="10" t="n">
        <v>0.014</v>
      </c>
      <c r="J56" s="10" t="n">
        <v>0.014</v>
      </c>
      <c r="K56" s="3" t="n">
        <v>1</v>
      </c>
      <c r="L56" s="3" t="n">
        <v>1</v>
      </c>
      <c r="M56" s="3" t="n">
        <v>1</v>
      </c>
    </row>
    <row r="57">
      <c r="A57" s="3" t="inlineStr">
        <is>
          <t>3UG2</t>
        </is>
      </c>
      <c r="B57" s="3" t="inlineStr">
        <is>
          <t>Gefitinib</t>
        </is>
      </c>
      <c r="C57" s="3" t="inlineStr">
        <is>
          <t>IRE+2</t>
        </is>
      </c>
      <c r="D57" s="10" t="n">
        <v>1</v>
      </c>
      <c r="E57" s="10" t="n">
        <v>0.002</v>
      </c>
      <c r="F57" s="10" t="n">
        <v>0.002</v>
      </c>
      <c r="G57" s="10" t="n">
        <v>0.002</v>
      </c>
      <c r="H57" s="10" t="n">
        <v>0</v>
      </c>
      <c r="I57" s="10" t="n">
        <v>0</v>
      </c>
      <c r="J57" s="10" t="n">
        <v>0</v>
      </c>
      <c r="K57" s="3" t="n">
        <v>1</v>
      </c>
      <c r="L57" s="3" t="n">
        <v>1</v>
      </c>
      <c r="M57" s="3" t="n">
        <v>1</v>
      </c>
    </row>
    <row r="58">
      <c r="A58" s="3" t="inlineStr">
        <is>
          <t>3UG2</t>
        </is>
      </c>
      <c r="B58" s="3" t="inlineStr">
        <is>
          <t>Gefitinib</t>
        </is>
      </c>
      <c r="C58" s="3" t="inlineStr">
        <is>
          <t>IRE+3</t>
        </is>
      </c>
      <c r="D58" s="10" t="n">
        <v>1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3" t="n">
        <v>1</v>
      </c>
      <c r="L58" s="3" t="n">
        <v>1</v>
      </c>
      <c r="M58" s="3" t="n">
        <v>1</v>
      </c>
    </row>
    <row r="59">
      <c r="A59" s="3" t="inlineStr">
        <is>
          <t>3UG2</t>
        </is>
      </c>
      <c r="B59" s="3" t="inlineStr">
        <is>
          <t>Gefitinib</t>
        </is>
      </c>
      <c r="C59" s="3" t="inlineStr">
        <is>
          <t>IRE+a</t>
        </is>
      </c>
      <c r="D59" s="10" t="n">
        <v>2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3" t="n">
        <v>1</v>
      </c>
      <c r="L59" s="3" t="n">
        <v>1</v>
      </c>
      <c r="M59" s="3" t="n">
        <v>1</v>
      </c>
    </row>
    <row r="60">
      <c r="A60" s="3" t="inlineStr">
        <is>
          <t>3UG2</t>
        </is>
      </c>
      <c r="B60" s="3" t="inlineStr">
        <is>
          <t>Gefitinib</t>
        </is>
      </c>
      <c r="C60" s="3" t="inlineStr">
        <is>
          <t>IRE01</t>
        </is>
      </c>
      <c r="D60" s="10" t="n">
        <v>-0</v>
      </c>
      <c r="E60" s="10" t="n">
        <v>0.7</v>
      </c>
      <c r="F60" s="10" t="n">
        <v>0.7</v>
      </c>
      <c r="G60" s="10" t="n">
        <v>0.7</v>
      </c>
      <c r="H60" s="10" t="n">
        <v>1</v>
      </c>
      <c r="I60" s="10" t="n">
        <v>0.986</v>
      </c>
      <c r="J60" s="10" t="n">
        <v>0.986</v>
      </c>
      <c r="K60" s="3" t="n">
        <v>1</v>
      </c>
      <c r="L60" s="3" t="n">
        <v>1</v>
      </c>
      <c r="M60" s="3" t="n">
        <v>1</v>
      </c>
    </row>
    <row r="61">
      <c r="A61" s="3" t="inlineStr">
        <is>
          <t>3WZD</t>
        </is>
      </c>
      <c r="B61" s="3" t="inlineStr">
        <is>
          <t>Lenvatinib</t>
        </is>
      </c>
      <c r="C61" s="3" t="inlineStr">
        <is>
          <t>LEV-1</t>
        </is>
      </c>
      <c r="D61" s="10" t="n">
        <v>-1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3" t="n">
        <v>1</v>
      </c>
      <c r="L61" s="3" t="n">
        <v>1</v>
      </c>
      <c r="M61" s="3" t="n">
        <v>1</v>
      </c>
    </row>
    <row r="62">
      <c r="A62" s="3" t="inlineStr">
        <is>
          <t>3WZD</t>
        </is>
      </c>
      <c r="B62" s="3" t="inlineStr">
        <is>
          <t>Lenvatinib</t>
        </is>
      </c>
      <c r="C62" s="3" t="inlineStr">
        <is>
          <t>LEV-2</t>
        </is>
      </c>
      <c r="D62" s="10" t="n">
        <v>-1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3" t="n">
        <v>1</v>
      </c>
      <c r="L62" s="3" t="n">
        <v>1</v>
      </c>
      <c r="M62" s="3" t="n">
        <v>1</v>
      </c>
    </row>
    <row r="63">
      <c r="A63" s="3" t="inlineStr">
        <is>
          <t>3WZD</t>
        </is>
      </c>
      <c r="B63" s="3" t="inlineStr">
        <is>
          <t>Lenvatinib</t>
        </is>
      </c>
      <c r="C63" s="3" t="inlineStr">
        <is>
          <t>LEV01</t>
        </is>
      </c>
      <c r="D63" s="10" t="n">
        <v>0</v>
      </c>
      <c r="E63" s="10" t="n">
        <v>1</v>
      </c>
      <c r="F63" s="10" t="n">
        <v>1</v>
      </c>
      <c r="G63" s="10" t="n">
        <v>1</v>
      </c>
      <c r="H63" s="10" t="n">
        <v>1</v>
      </c>
      <c r="I63" s="10" t="n">
        <v>1</v>
      </c>
      <c r="J63" s="10" t="n">
        <v>1</v>
      </c>
      <c r="K63" s="3" t="n">
        <v>1</v>
      </c>
      <c r="L63" s="3" t="n">
        <v>1</v>
      </c>
      <c r="M63" s="3" t="n">
        <v>1</v>
      </c>
    </row>
    <row r="64">
      <c r="A64" s="3" t="inlineStr">
        <is>
          <t>3WZE</t>
        </is>
      </c>
      <c r="B64" s="3" t="inlineStr">
        <is>
          <t>Sorafenib</t>
        </is>
      </c>
      <c r="C64" s="3" t="inlineStr">
        <is>
          <t>BAX+1</t>
        </is>
      </c>
      <c r="D64" s="10" t="n">
        <v>1</v>
      </c>
      <c r="E64" s="10" t="n">
        <v>0.004</v>
      </c>
      <c r="F64" s="10" t="n">
        <v>0.004</v>
      </c>
      <c r="G64" s="10" t="n">
        <v>0.004</v>
      </c>
      <c r="H64" s="10" t="n">
        <v>0</v>
      </c>
      <c r="I64" s="10" t="n">
        <v>0</v>
      </c>
      <c r="J64" s="10" t="n">
        <v>0</v>
      </c>
      <c r="K64" s="3" t="n">
        <v>1</v>
      </c>
      <c r="L64" s="3" t="n">
        <v>1</v>
      </c>
      <c r="M64" s="3" t="n">
        <v>1</v>
      </c>
    </row>
    <row r="65">
      <c r="A65" s="3" t="inlineStr">
        <is>
          <t>3WZE</t>
        </is>
      </c>
      <c r="B65" s="3" t="inlineStr">
        <is>
          <t>Sorafenib</t>
        </is>
      </c>
      <c r="C65" s="3" t="inlineStr">
        <is>
          <t>BAX-1</t>
        </is>
      </c>
      <c r="D65" s="10" t="n">
        <v>-1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3" t="n">
        <v>1</v>
      </c>
      <c r="L65" s="3" t="n">
        <v>1</v>
      </c>
      <c r="M65" s="3" t="n">
        <v>1</v>
      </c>
    </row>
    <row r="66">
      <c r="A66" s="3" t="inlineStr">
        <is>
          <t>3WZE</t>
        </is>
      </c>
      <c r="B66" s="3" t="inlineStr">
        <is>
          <t>Sorafenib</t>
        </is>
      </c>
      <c r="C66" s="3" t="inlineStr">
        <is>
          <t>BAX01</t>
        </is>
      </c>
      <c r="D66" s="10" t="n">
        <v>0</v>
      </c>
      <c r="E66" s="10" t="n">
        <v>0.994</v>
      </c>
      <c r="F66" s="10" t="n">
        <v>0.994</v>
      </c>
      <c r="G66" s="10" t="n">
        <v>0.994</v>
      </c>
      <c r="H66" s="10" t="n">
        <v>1</v>
      </c>
      <c r="I66" s="10" t="n">
        <v>1</v>
      </c>
      <c r="J66" s="10" t="n">
        <v>1</v>
      </c>
      <c r="K66" s="3" t="n">
        <v>1</v>
      </c>
      <c r="L66" s="3" t="n">
        <v>1</v>
      </c>
      <c r="M66" s="3" t="n">
        <v>1</v>
      </c>
    </row>
    <row r="67">
      <c r="A67" s="3" t="inlineStr">
        <is>
          <t>3WZE</t>
        </is>
      </c>
      <c r="B67" s="3" t="inlineStr">
        <is>
          <t>Sorafenib</t>
        </is>
      </c>
      <c r="C67" s="3" t="inlineStr">
        <is>
          <t>BAX02</t>
        </is>
      </c>
      <c r="D67" s="10" t="n">
        <v>0</v>
      </c>
      <c r="E67" s="10" t="n">
        <v>0.002</v>
      </c>
      <c r="F67" s="10" t="n">
        <v>0.002</v>
      </c>
      <c r="G67" s="10" t="n">
        <v>0.002</v>
      </c>
      <c r="H67" s="10" t="n">
        <v>0</v>
      </c>
      <c r="I67" s="10" t="n">
        <v>0</v>
      </c>
      <c r="J67" s="10" t="n">
        <v>0</v>
      </c>
      <c r="K67" s="3" t="n">
        <v>1</v>
      </c>
      <c r="L67" s="3" t="n">
        <v>1</v>
      </c>
      <c r="M67" s="3" t="n">
        <v>1</v>
      </c>
    </row>
    <row r="68">
      <c r="A68" s="3" t="inlineStr">
        <is>
          <t>3ZOS</t>
        </is>
      </c>
      <c r="B68" s="3" t="inlineStr">
        <is>
          <t>Ponatinib</t>
        </is>
      </c>
      <c r="C68" s="3" t="inlineStr">
        <is>
          <t>0LI+1</t>
        </is>
      </c>
      <c r="D68" s="10" t="n">
        <v>1</v>
      </c>
      <c r="E68" s="10" t="n">
        <v>0.598</v>
      </c>
      <c r="F68" s="10" t="n">
        <v>0.598</v>
      </c>
      <c r="G68" s="10" t="n">
        <v>0.598</v>
      </c>
      <c r="H68" s="10" t="n">
        <v>0</v>
      </c>
      <c r="I68" s="10" t="n">
        <v>0</v>
      </c>
      <c r="J68" s="10" t="n">
        <v>0</v>
      </c>
      <c r="K68" s="3" t="n">
        <v>1</v>
      </c>
      <c r="L68" s="3" t="n">
        <v>1</v>
      </c>
      <c r="M68" s="3" t="n">
        <v>1</v>
      </c>
    </row>
    <row r="69">
      <c r="A69" s="3" t="inlineStr">
        <is>
          <t>3ZOS</t>
        </is>
      </c>
      <c r="B69" s="3" t="inlineStr">
        <is>
          <t>Ponatinib</t>
        </is>
      </c>
      <c r="C69" s="3" t="inlineStr">
        <is>
          <t>0LI+2</t>
        </is>
      </c>
      <c r="D69" s="10" t="n">
        <v>1</v>
      </c>
      <c r="E69" s="10" t="n">
        <v>0.365</v>
      </c>
      <c r="F69" s="10" t="n">
        <v>0.365</v>
      </c>
      <c r="G69" s="10" t="n">
        <v>0.365</v>
      </c>
      <c r="H69" s="10" t="n">
        <v>1</v>
      </c>
      <c r="I69" s="10" t="n">
        <v>1</v>
      </c>
      <c r="J69" s="10" t="n">
        <v>1</v>
      </c>
      <c r="K69" s="3" t="n">
        <v>1</v>
      </c>
      <c r="L69" s="3" t="n">
        <v>1</v>
      </c>
      <c r="M69" s="3" t="n">
        <v>1</v>
      </c>
    </row>
    <row r="70">
      <c r="A70" s="3" t="inlineStr">
        <is>
          <t>3ZOS</t>
        </is>
      </c>
      <c r="B70" s="3" t="inlineStr">
        <is>
          <t>Ponatinib</t>
        </is>
      </c>
      <c r="C70" s="3" t="inlineStr">
        <is>
          <t>0LI01</t>
        </is>
      </c>
      <c r="D70" s="10" t="n">
        <v>-0</v>
      </c>
      <c r="E70" s="10" t="n">
        <v>0.037</v>
      </c>
      <c r="F70" s="10" t="n">
        <v>0.037</v>
      </c>
      <c r="G70" s="10" t="n">
        <v>0.037</v>
      </c>
      <c r="H70" s="10" t="n">
        <v>0</v>
      </c>
      <c r="I70" s="10" t="n">
        <v>0</v>
      </c>
      <c r="J70" s="10" t="n">
        <v>0</v>
      </c>
      <c r="K70" s="3" t="n">
        <v>1</v>
      </c>
      <c r="L70" s="3" t="n">
        <v>1</v>
      </c>
      <c r="M70" s="3" t="n">
        <v>2</v>
      </c>
    </row>
    <row r="71">
      <c r="A71" s="3" t="inlineStr">
        <is>
          <t>4AG8</t>
        </is>
      </c>
      <c r="B71" s="3" t="inlineStr">
        <is>
          <t>Axitinib</t>
        </is>
      </c>
      <c r="C71" s="3" t="inlineStr">
        <is>
          <t>AXI+1</t>
        </is>
      </c>
      <c r="D71" s="10" t="n">
        <v>1</v>
      </c>
      <c r="E71" s="10" t="n">
        <v>0.003</v>
      </c>
      <c r="F71" s="10" t="n">
        <v>0.003</v>
      </c>
      <c r="G71" s="10" t="n">
        <v>0.003</v>
      </c>
      <c r="H71" s="10" t="n">
        <v>0</v>
      </c>
      <c r="I71" s="10" t="n">
        <v>0</v>
      </c>
      <c r="J71" s="10" t="n">
        <v>0</v>
      </c>
      <c r="K71" s="3" t="n">
        <v>1</v>
      </c>
      <c r="L71" s="3" t="n">
        <v>1</v>
      </c>
      <c r="M71" s="3" t="n">
        <v>1</v>
      </c>
    </row>
    <row r="72">
      <c r="A72" s="3" t="inlineStr">
        <is>
          <t>4AG8</t>
        </is>
      </c>
      <c r="B72" s="3" t="inlineStr">
        <is>
          <t>Axitinib</t>
        </is>
      </c>
      <c r="C72" s="3" t="inlineStr">
        <is>
          <t>AXI01</t>
        </is>
      </c>
      <c r="D72" s="10" t="n">
        <v>0</v>
      </c>
      <c r="E72" s="10" t="n">
        <v>0.8100000000000001</v>
      </c>
      <c r="F72" s="10" t="n">
        <v>0.8100000000000001</v>
      </c>
      <c r="G72" s="10" t="n">
        <v>0.8100000000000001</v>
      </c>
      <c r="H72" s="10" t="n">
        <v>0.961</v>
      </c>
      <c r="I72" s="10" t="n">
        <v>0.961</v>
      </c>
      <c r="J72" s="10" t="n">
        <v>0.96</v>
      </c>
      <c r="K72" s="3" t="n">
        <v>2</v>
      </c>
      <c r="L72" s="3" t="n">
        <v>1</v>
      </c>
      <c r="M72" s="3" t="n">
        <v>1</v>
      </c>
    </row>
    <row r="73">
      <c r="A73" s="3" t="inlineStr">
        <is>
          <t>4AG8</t>
        </is>
      </c>
      <c r="B73" s="3" t="inlineStr">
        <is>
          <t>Axitinib</t>
        </is>
      </c>
      <c r="C73" s="3" t="inlineStr">
        <is>
          <t>AXI02</t>
        </is>
      </c>
      <c r="D73" s="10" t="n">
        <v>-0</v>
      </c>
      <c r="E73" s="10" t="n">
        <v>0.187</v>
      </c>
      <c r="F73" s="10" t="n">
        <v>0.187</v>
      </c>
      <c r="G73" s="10" t="n">
        <v>0.187</v>
      </c>
      <c r="H73" s="10" t="n">
        <v>0.039</v>
      </c>
      <c r="I73" s="10" t="n">
        <v>0.039</v>
      </c>
      <c r="J73" s="10" t="n">
        <v>0.04</v>
      </c>
      <c r="K73" s="3" t="n">
        <v>1</v>
      </c>
      <c r="L73" s="3" t="n">
        <v>1</v>
      </c>
      <c r="M73" s="3" t="n">
        <v>1</v>
      </c>
    </row>
    <row r="74">
      <c r="A74" s="3" t="inlineStr">
        <is>
          <t>4AGC</t>
        </is>
      </c>
      <c r="B74" s="3" t="inlineStr">
        <is>
          <t>Axitinib</t>
        </is>
      </c>
      <c r="C74" s="3" t="inlineStr">
        <is>
          <t>AXI+1</t>
        </is>
      </c>
      <c r="D74" s="10" t="n">
        <v>1</v>
      </c>
      <c r="E74" s="10" t="n">
        <v>0.003</v>
      </c>
      <c r="F74" s="10" t="n">
        <v>0.003</v>
      </c>
      <c r="G74" s="10" t="n">
        <v>0.003</v>
      </c>
      <c r="H74" s="10" t="n">
        <v>0</v>
      </c>
      <c r="I74" s="10" t="n">
        <v>0</v>
      </c>
      <c r="J74" s="10" t="n">
        <v>0</v>
      </c>
      <c r="K74" s="3" t="n">
        <v>1</v>
      </c>
      <c r="L74" s="3" t="n">
        <v>1</v>
      </c>
      <c r="M74" s="3" t="n">
        <v>1</v>
      </c>
    </row>
    <row r="75">
      <c r="A75" s="3" t="inlineStr">
        <is>
          <t>4AGC</t>
        </is>
      </c>
      <c r="B75" s="3" t="inlineStr">
        <is>
          <t>Axitinib</t>
        </is>
      </c>
      <c r="C75" s="3" t="inlineStr">
        <is>
          <t>AXI01</t>
        </is>
      </c>
      <c r="D75" s="10" t="n">
        <v>0</v>
      </c>
      <c r="E75" s="10" t="n">
        <v>0.8100000000000001</v>
      </c>
      <c r="F75" s="10" t="n">
        <v>0.8100000000000001</v>
      </c>
      <c r="G75" s="10" t="n">
        <v>0.8100000000000001</v>
      </c>
      <c r="H75" s="10" t="n">
        <v>0.989</v>
      </c>
      <c r="I75" s="10" t="n">
        <v>0.986</v>
      </c>
      <c r="J75" s="10" t="n">
        <v>0.989</v>
      </c>
      <c r="K75" s="3" t="n">
        <v>1</v>
      </c>
      <c r="L75" s="3" t="n">
        <v>1</v>
      </c>
      <c r="M75" s="3" t="n">
        <v>1</v>
      </c>
    </row>
    <row r="76">
      <c r="A76" s="3" t="inlineStr">
        <is>
          <t>4AGC</t>
        </is>
      </c>
      <c r="B76" s="3" t="inlineStr">
        <is>
          <t>Axitinib</t>
        </is>
      </c>
      <c r="C76" s="3" t="inlineStr">
        <is>
          <t>AXI02</t>
        </is>
      </c>
      <c r="D76" s="10" t="n">
        <v>-0</v>
      </c>
      <c r="E76" s="10" t="n">
        <v>0.187</v>
      </c>
      <c r="F76" s="10" t="n">
        <v>0.187</v>
      </c>
      <c r="G76" s="10" t="n">
        <v>0.187</v>
      </c>
      <c r="H76" s="10" t="n">
        <v>0.011</v>
      </c>
      <c r="I76" s="10" t="n">
        <v>0.014</v>
      </c>
      <c r="J76" s="10" t="n">
        <v>0.011</v>
      </c>
      <c r="K76" s="3" t="n">
        <v>1</v>
      </c>
      <c r="L76" s="3" t="n">
        <v>1</v>
      </c>
      <c r="M76" s="3" t="n">
        <v>1</v>
      </c>
    </row>
    <row r="77">
      <c r="A77" s="3" t="inlineStr">
        <is>
          <t>4AGD</t>
        </is>
      </c>
      <c r="B77" s="3" t="inlineStr">
        <is>
          <t>Sunitinib</t>
        </is>
      </c>
      <c r="C77" s="3" t="inlineStr">
        <is>
          <t>B49+1</t>
        </is>
      </c>
      <c r="D77" s="10" t="n">
        <v>1</v>
      </c>
      <c r="E77" s="10" t="n">
        <v>0.987</v>
      </c>
      <c r="F77" s="10" t="n">
        <v>0.987</v>
      </c>
      <c r="G77" s="10" t="n">
        <v>0.987</v>
      </c>
      <c r="H77" s="10" t="n">
        <v>0.887</v>
      </c>
      <c r="I77" s="10" t="n">
        <v>0.921</v>
      </c>
      <c r="J77" s="10" t="n">
        <v>0.889</v>
      </c>
      <c r="K77" s="3" t="n">
        <v>1</v>
      </c>
      <c r="L77" s="3" t="n">
        <v>2</v>
      </c>
      <c r="M77" s="3" t="n">
        <v>2</v>
      </c>
    </row>
    <row r="78">
      <c r="A78" s="3" t="inlineStr">
        <is>
          <t>4AGD</t>
        </is>
      </c>
      <c r="B78" s="3" t="inlineStr">
        <is>
          <t>Sunitinib</t>
        </is>
      </c>
      <c r="C78" s="3" t="inlineStr">
        <is>
          <t>B4901</t>
        </is>
      </c>
      <c r="D78" s="10" t="n">
        <v>0</v>
      </c>
      <c r="E78" s="10" t="n">
        <v>0.013</v>
      </c>
      <c r="F78" s="10" t="n">
        <v>0.013</v>
      </c>
      <c r="G78" s="10" t="n">
        <v>0.013</v>
      </c>
      <c r="H78" s="10" t="n">
        <v>0.113</v>
      </c>
      <c r="I78" s="10" t="n">
        <v>0.079</v>
      </c>
      <c r="J78" s="10" t="n">
        <v>0.111</v>
      </c>
      <c r="K78" s="3" t="n">
        <v>1</v>
      </c>
      <c r="L78" s="3" t="n">
        <v>1</v>
      </c>
      <c r="M78" s="3" t="n">
        <v>1</v>
      </c>
    </row>
    <row r="79">
      <c r="A79" s="3" t="inlineStr">
        <is>
          <t>4AGD</t>
        </is>
      </c>
      <c r="B79" s="3" t="inlineStr">
        <is>
          <t>Sunitinib</t>
        </is>
      </c>
      <c r="C79" s="3" t="inlineStr">
        <is>
          <t>B4902</t>
        </is>
      </c>
      <c r="D79" s="10" t="n">
        <v>-0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3" t="n">
        <v>1</v>
      </c>
      <c r="L79" s="3" t="n">
        <v>1</v>
      </c>
      <c r="M79" s="3" t="n">
        <v>1</v>
      </c>
    </row>
    <row r="80">
      <c r="A80" s="3" t="inlineStr">
        <is>
          <t>4AGD</t>
        </is>
      </c>
      <c r="B80" s="3" t="inlineStr">
        <is>
          <t>Sunitinib</t>
        </is>
      </c>
      <c r="C80" s="3" t="inlineStr">
        <is>
          <t>B4903</t>
        </is>
      </c>
      <c r="D80" s="10" t="n">
        <v>-0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3" t="n">
        <v>1</v>
      </c>
      <c r="L80" s="3" t="n">
        <v>1</v>
      </c>
      <c r="M80" s="3" t="n">
        <v>1</v>
      </c>
    </row>
    <row r="81">
      <c r="A81" s="3" t="inlineStr">
        <is>
          <t>4AN2</t>
        </is>
      </c>
      <c r="B81" s="3" t="inlineStr">
        <is>
          <t>Cobimetinib</t>
        </is>
      </c>
      <c r="C81" s="3" t="inlineStr">
        <is>
          <t>EUI+1</t>
        </is>
      </c>
      <c r="D81" s="10" t="n">
        <v>1</v>
      </c>
      <c r="E81" s="10" t="n">
        <v>0.986</v>
      </c>
      <c r="F81" s="10" t="n">
        <v>0.986</v>
      </c>
      <c r="G81" s="10" t="n">
        <v>0.986</v>
      </c>
      <c r="H81" s="10" t="n">
        <v>0.232</v>
      </c>
      <c r="I81" s="10" t="n">
        <v>0.217</v>
      </c>
      <c r="J81" s="10" t="n">
        <v>0.216</v>
      </c>
      <c r="K81" s="3" t="n">
        <v>2</v>
      </c>
      <c r="L81" s="3" t="n">
        <v>2</v>
      </c>
      <c r="M81" s="3" t="n">
        <v>2</v>
      </c>
    </row>
    <row r="82">
      <c r="A82" s="3" t="inlineStr">
        <is>
          <t>4AN2</t>
        </is>
      </c>
      <c r="B82" s="3" t="inlineStr">
        <is>
          <t>Cobimetinib</t>
        </is>
      </c>
      <c r="C82" s="3" t="inlineStr">
        <is>
          <t>EUI01</t>
        </is>
      </c>
      <c r="D82" s="10" t="n">
        <v>-0</v>
      </c>
      <c r="E82" s="10" t="n">
        <v>0.014</v>
      </c>
      <c r="F82" s="10" t="n">
        <v>0.014</v>
      </c>
      <c r="G82" s="10" t="n">
        <v>0.014</v>
      </c>
      <c r="H82" s="10" t="n">
        <v>0.766</v>
      </c>
      <c r="I82" s="10" t="n">
        <v>0.781</v>
      </c>
      <c r="J82" s="10" t="n">
        <v>0.783</v>
      </c>
      <c r="K82" s="3" t="n">
        <v>3</v>
      </c>
      <c r="L82" s="3" t="n">
        <v>2</v>
      </c>
      <c r="M82" s="3" t="n">
        <v>2</v>
      </c>
    </row>
    <row r="83">
      <c r="A83" s="3" t="inlineStr">
        <is>
          <t>4AN2</t>
        </is>
      </c>
      <c r="B83" s="3" t="inlineStr">
        <is>
          <t>Cobimetinib</t>
        </is>
      </c>
      <c r="C83" s="3" t="inlineStr">
        <is>
          <t>EUI02</t>
        </is>
      </c>
      <c r="D83" s="10" t="n">
        <v>-0</v>
      </c>
      <c r="E83" s="10" t="n">
        <v>0</v>
      </c>
      <c r="F83" s="10" t="n">
        <v>0</v>
      </c>
      <c r="G83" s="10" t="n">
        <v>0</v>
      </c>
      <c r="H83" s="10" t="n">
        <v>0.002</v>
      </c>
      <c r="I83" s="10" t="n">
        <v>0.002</v>
      </c>
      <c r="J83" s="10" t="n">
        <v>0.001</v>
      </c>
      <c r="K83" s="3" t="n">
        <v>2</v>
      </c>
      <c r="L83" s="3" t="n">
        <v>2</v>
      </c>
      <c r="M83" s="3" t="n">
        <v>2</v>
      </c>
    </row>
    <row r="84">
      <c r="A84" s="3" t="inlineStr">
        <is>
          <t>4ANQ</t>
        </is>
      </c>
      <c r="B84" s="3" t="inlineStr">
        <is>
          <t>Crizotinib</t>
        </is>
      </c>
      <c r="C84" s="3" t="inlineStr">
        <is>
          <t>VGH+1</t>
        </is>
      </c>
      <c r="D84" s="10" t="n">
        <v>1</v>
      </c>
      <c r="E84" s="10" t="n">
        <v>0.378</v>
      </c>
      <c r="F84" s="10" t="n">
        <v>0.378</v>
      </c>
      <c r="G84" s="10" t="n">
        <v>0.378</v>
      </c>
      <c r="H84" s="10" t="n">
        <v>1</v>
      </c>
      <c r="I84" s="10" t="n">
        <v>1</v>
      </c>
      <c r="J84" s="10" t="n">
        <v>1</v>
      </c>
      <c r="K84" s="3" t="n">
        <v>1</v>
      </c>
      <c r="L84" s="3" t="n">
        <v>1</v>
      </c>
      <c r="M84" s="3" t="n">
        <v>1</v>
      </c>
    </row>
    <row r="85">
      <c r="A85" s="3" t="inlineStr">
        <is>
          <t>4ANQ</t>
        </is>
      </c>
      <c r="B85" s="3" t="inlineStr">
        <is>
          <t>Crizotinib</t>
        </is>
      </c>
      <c r="C85" s="3" t="inlineStr">
        <is>
          <t>VGH+2</t>
        </is>
      </c>
      <c r="D85" s="10" t="n">
        <v>1</v>
      </c>
      <c r="E85" s="10" t="n">
        <v>0.002</v>
      </c>
      <c r="F85" s="10" t="n">
        <v>0.002</v>
      </c>
      <c r="G85" s="10" t="n">
        <v>0.002</v>
      </c>
      <c r="H85" s="10" t="n">
        <v>0</v>
      </c>
      <c r="I85" s="10" t="n">
        <v>0</v>
      </c>
      <c r="J85" s="10" t="n">
        <v>0</v>
      </c>
      <c r="K85" s="3" t="n">
        <v>1</v>
      </c>
      <c r="L85" s="3" t="n">
        <v>1</v>
      </c>
      <c r="M85" s="3" t="n">
        <v>1</v>
      </c>
    </row>
    <row r="86">
      <c r="A86" s="3" t="inlineStr">
        <is>
          <t>4ANQ</t>
        </is>
      </c>
      <c r="B86" s="3" t="inlineStr">
        <is>
          <t>Crizotinib</t>
        </is>
      </c>
      <c r="C86" s="3" t="inlineStr">
        <is>
          <t>VGH+a</t>
        </is>
      </c>
      <c r="D86" s="10" t="n">
        <v>2</v>
      </c>
      <c r="E86" s="10" t="n">
        <v>0.615</v>
      </c>
      <c r="F86" s="10" t="n">
        <v>0.615</v>
      </c>
      <c r="G86" s="10" t="n">
        <v>0.615</v>
      </c>
      <c r="H86" s="10" t="n">
        <v>0</v>
      </c>
      <c r="I86" s="10" t="n">
        <v>0</v>
      </c>
      <c r="J86" s="10" t="n">
        <v>0</v>
      </c>
      <c r="K86" s="3" t="n">
        <v>1</v>
      </c>
      <c r="L86" s="3" t="n">
        <v>1</v>
      </c>
      <c r="M86" s="3" t="n">
        <v>1</v>
      </c>
    </row>
    <row r="87">
      <c r="A87" s="3" t="inlineStr">
        <is>
          <t>4ANQ</t>
        </is>
      </c>
      <c r="B87" s="3" t="inlineStr">
        <is>
          <t>Crizotinib</t>
        </is>
      </c>
      <c r="C87" s="3" t="inlineStr">
        <is>
          <t>VGH01</t>
        </is>
      </c>
      <c r="D87" s="10" t="n">
        <v>0</v>
      </c>
      <c r="E87" s="10" t="n">
        <v>0.005</v>
      </c>
      <c r="F87" s="10" t="n">
        <v>0.005</v>
      </c>
      <c r="G87" s="10" t="n">
        <v>0.005</v>
      </c>
      <c r="H87" s="10" t="n">
        <v>0</v>
      </c>
      <c r="I87" s="10" t="n">
        <v>0</v>
      </c>
      <c r="J87" s="10" t="n">
        <v>0</v>
      </c>
      <c r="K87" s="3" t="n">
        <v>1</v>
      </c>
      <c r="L87" s="3" t="n">
        <v>1</v>
      </c>
      <c r="M87" s="3" t="n">
        <v>1</v>
      </c>
    </row>
    <row r="88">
      <c r="A88" s="3" t="inlineStr">
        <is>
          <t>4ANS</t>
        </is>
      </c>
      <c r="B88" s="3" t="inlineStr">
        <is>
          <t>Crizotinib</t>
        </is>
      </c>
      <c r="C88" s="3" t="inlineStr">
        <is>
          <t>VGH+1</t>
        </is>
      </c>
      <c r="D88" s="10" t="n">
        <v>1</v>
      </c>
      <c r="E88" s="10" t="n">
        <v>0.378</v>
      </c>
      <c r="F88" s="10" t="n">
        <v>0.378</v>
      </c>
      <c r="G88" s="10" t="n">
        <v>0.378</v>
      </c>
      <c r="H88" s="10" t="n">
        <v>1</v>
      </c>
      <c r="I88" s="10" t="n">
        <v>1</v>
      </c>
      <c r="J88" s="10" t="n">
        <v>1</v>
      </c>
      <c r="K88" s="3" t="n">
        <v>1</v>
      </c>
      <c r="L88" s="3" t="n">
        <v>1</v>
      </c>
      <c r="M88" s="3" t="n">
        <v>1</v>
      </c>
    </row>
    <row r="89">
      <c r="A89" s="3" t="inlineStr">
        <is>
          <t>4ANS</t>
        </is>
      </c>
      <c r="B89" s="3" t="inlineStr">
        <is>
          <t>Crizotinib</t>
        </is>
      </c>
      <c r="C89" s="3" t="inlineStr">
        <is>
          <t>VGH+2</t>
        </is>
      </c>
      <c r="D89" s="10" t="n">
        <v>1</v>
      </c>
      <c r="E89" s="10" t="n">
        <v>0.002</v>
      </c>
      <c r="F89" s="10" t="n">
        <v>0.002</v>
      </c>
      <c r="G89" s="10" t="n">
        <v>0.002</v>
      </c>
      <c r="H89" s="10" t="n">
        <v>0</v>
      </c>
      <c r="I89" s="10" t="n">
        <v>0</v>
      </c>
      <c r="J89" s="10" t="n">
        <v>0</v>
      </c>
      <c r="K89" s="3" t="n">
        <v>1</v>
      </c>
      <c r="L89" s="3" t="n">
        <v>1</v>
      </c>
      <c r="M89" s="3" t="n">
        <v>1</v>
      </c>
    </row>
    <row r="90">
      <c r="A90" s="3" t="inlineStr">
        <is>
          <t>4ANS</t>
        </is>
      </c>
      <c r="B90" s="3" t="inlineStr">
        <is>
          <t>Crizotinib</t>
        </is>
      </c>
      <c r="C90" s="3" t="inlineStr">
        <is>
          <t>VGH+a</t>
        </is>
      </c>
      <c r="D90" s="10" t="n">
        <v>2</v>
      </c>
      <c r="E90" s="10" t="n">
        <v>0.615</v>
      </c>
      <c r="F90" s="10" t="n">
        <v>0.615</v>
      </c>
      <c r="G90" s="10" t="n">
        <v>0.615</v>
      </c>
      <c r="H90" s="10" t="n">
        <v>0</v>
      </c>
      <c r="I90" s="10" t="n">
        <v>0</v>
      </c>
      <c r="J90" s="10" t="n">
        <v>0</v>
      </c>
      <c r="K90" s="3" t="n">
        <v>2</v>
      </c>
      <c r="L90" s="3" t="n">
        <v>1</v>
      </c>
      <c r="M90" s="3" t="n">
        <v>1</v>
      </c>
    </row>
    <row r="91">
      <c r="A91" s="3" t="inlineStr">
        <is>
          <t>4ANS</t>
        </is>
      </c>
      <c r="B91" s="3" t="inlineStr">
        <is>
          <t>Crizotinib</t>
        </is>
      </c>
      <c r="C91" s="3" t="inlineStr">
        <is>
          <t>VGH01</t>
        </is>
      </c>
      <c r="D91" s="10" t="n">
        <v>0</v>
      </c>
      <c r="E91" s="10" t="n">
        <v>0.005</v>
      </c>
      <c r="F91" s="10" t="n">
        <v>0.005</v>
      </c>
      <c r="G91" s="10" t="n">
        <v>0.005</v>
      </c>
      <c r="H91" s="10" t="n">
        <v>0</v>
      </c>
      <c r="I91" s="10" t="n">
        <v>0</v>
      </c>
      <c r="J91" s="10" t="n">
        <v>0</v>
      </c>
      <c r="K91" s="3" t="n">
        <v>1</v>
      </c>
      <c r="L91" s="3" t="n">
        <v>1</v>
      </c>
      <c r="M91" s="3" t="n">
        <v>1</v>
      </c>
    </row>
    <row r="92">
      <c r="A92" s="3" t="inlineStr">
        <is>
          <t>4ASD</t>
        </is>
      </c>
      <c r="B92" s="3" t="inlineStr">
        <is>
          <t>Sorafenib</t>
        </is>
      </c>
      <c r="C92" s="3" t="inlineStr">
        <is>
          <t>BAX+1</t>
        </is>
      </c>
      <c r="D92" s="10" t="n">
        <v>1</v>
      </c>
      <c r="E92" s="10" t="n">
        <v>0.004</v>
      </c>
      <c r="F92" s="10" t="n">
        <v>0.004</v>
      </c>
      <c r="G92" s="10" t="n">
        <v>0.004</v>
      </c>
      <c r="H92" s="10" t="n">
        <v>0</v>
      </c>
      <c r="I92" s="10" t="n">
        <v>0</v>
      </c>
      <c r="J92" s="10" t="n">
        <v>0</v>
      </c>
      <c r="K92" s="3" t="n">
        <v>1</v>
      </c>
      <c r="L92" s="3" t="n">
        <v>1</v>
      </c>
      <c r="M92" s="3" t="n">
        <v>1</v>
      </c>
    </row>
    <row r="93">
      <c r="A93" s="3" t="inlineStr">
        <is>
          <t>4ASD</t>
        </is>
      </c>
      <c r="B93" s="3" t="inlineStr">
        <is>
          <t>Sorafenib</t>
        </is>
      </c>
      <c r="C93" s="3" t="inlineStr">
        <is>
          <t>BAX-1</t>
        </is>
      </c>
      <c r="D93" s="10" t="n">
        <v>-1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3" t="n">
        <v>1</v>
      </c>
      <c r="L93" s="3" t="n">
        <v>1</v>
      </c>
      <c r="M93" s="3" t="n">
        <v>1</v>
      </c>
    </row>
    <row r="94">
      <c r="A94" s="3" t="inlineStr">
        <is>
          <t>4ASD</t>
        </is>
      </c>
      <c r="B94" s="3" t="inlineStr">
        <is>
          <t>Sorafenib</t>
        </is>
      </c>
      <c r="C94" s="3" t="inlineStr">
        <is>
          <t>BAX01</t>
        </is>
      </c>
      <c r="D94" s="10" t="n">
        <v>0</v>
      </c>
      <c r="E94" s="10" t="n">
        <v>0.994</v>
      </c>
      <c r="F94" s="10" t="n">
        <v>0.994</v>
      </c>
      <c r="G94" s="10" t="n">
        <v>0.994</v>
      </c>
      <c r="H94" s="10" t="n">
        <v>1</v>
      </c>
      <c r="I94" s="10" t="n">
        <v>1</v>
      </c>
      <c r="J94" s="10" t="n">
        <v>1</v>
      </c>
      <c r="K94" s="3" t="n">
        <v>1</v>
      </c>
      <c r="L94" s="3" t="n">
        <v>1</v>
      </c>
      <c r="M94" s="3" t="n">
        <v>1</v>
      </c>
    </row>
    <row r="95">
      <c r="A95" s="3" t="inlineStr">
        <is>
          <t>4ASD</t>
        </is>
      </c>
      <c r="B95" s="3" t="inlineStr">
        <is>
          <t>Sorafenib</t>
        </is>
      </c>
      <c r="C95" s="3" t="inlineStr">
        <is>
          <t>BAX02</t>
        </is>
      </c>
      <c r="D95" s="10" t="n">
        <v>0</v>
      </c>
      <c r="E95" s="10" t="n">
        <v>0.002</v>
      </c>
      <c r="F95" s="10" t="n">
        <v>0.002</v>
      </c>
      <c r="G95" s="10" t="n">
        <v>0.002</v>
      </c>
      <c r="H95" s="10" t="n">
        <v>0</v>
      </c>
      <c r="I95" s="10" t="n">
        <v>0</v>
      </c>
      <c r="J95" s="10" t="n">
        <v>0</v>
      </c>
      <c r="K95" s="3" t="n">
        <v>1</v>
      </c>
      <c r="L95" s="3" t="n">
        <v>1</v>
      </c>
      <c r="M95" s="3" t="n">
        <v>1</v>
      </c>
    </row>
    <row r="96">
      <c r="A96" s="3" t="inlineStr">
        <is>
          <t>4G5J</t>
        </is>
      </c>
      <c r="B96" s="3" t="inlineStr">
        <is>
          <t>Afatinib</t>
        </is>
      </c>
      <c r="C96" s="3" t="inlineStr">
        <is>
          <t>0WN+1</t>
        </is>
      </c>
      <c r="D96" s="10" t="n">
        <v>1</v>
      </c>
      <c r="E96" s="10" t="n">
        <v>0.992</v>
      </c>
      <c r="F96" s="10" t="n">
        <v>0.992</v>
      </c>
      <c r="G96" s="10" t="n">
        <v>0.992</v>
      </c>
      <c r="H96" s="10" t="n">
        <v>0.946</v>
      </c>
      <c r="I96" s="10" t="n">
        <v>0.944</v>
      </c>
      <c r="J96" s="10" t="n">
        <v>0.945</v>
      </c>
      <c r="K96" s="3" t="n">
        <v>1</v>
      </c>
      <c r="L96" s="3" t="n">
        <v>1</v>
      </c>
      <c r="M96" s="3" t="n">
        <v>1</v>
      </c>
    </row>
    <row r="97">
      <c r="A97" s="3" t="inlineStr">
        <is>
          <t>4G5J</t>
        </is>
      </c>
      <c r="B97" s="3" t="inlineStr">
        <is>
          <t>Afatinib</t>
        </is>
      </c>
      <c r="C97" s="3" t="inlineStr">
        <is>
          <t>0WN+a</t>
        </is>
      </c>
      <c r="D97" s="10" t="n">
        <v>2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3" t="n">
        <v>1</v>
      </c>
      <c r="L97" s="3" t="n">
        <v>1</v>
      </c>
      <c r="M97" s="3" t="n">
        <v>1</v>
      </c>
    </row>
    <row r="98">
      <c r="A98" s="3" t="inlineStr">
        <is>
          <t>4G5J</t>
        </is>
      </c>
      <c r="B98" s="3" t="inlineStr">
        <is>
          <t>Afatinib</t>
        </is>
      </c>
      <c r="C98" s="3" t="inlineStr">
        <is>
          <t>0WN01</t>
        </is>
      </c>
      <c r="D98" s="10" t="n">
        <v>0</v>
      </c>
      <c r="E98" s="10" t="n">
        <v>0.008</v>
      </c>
      <c r="F98" s="10" t="n">
        <v>0.008</v>
      </c>
      <c r="G98" s="10" t="n">
        <v>0.008</v>
      </c>
      <c r="H98" s="10" t="n">
        <v>0.054</v>
      </c>
      <c r="I98" s="10" t="n">
        <v>0.056</v>
      </c>
      <c r="J98" s="10" t="n">
        <v>0.055</v>
      </c>
      <c r="K98" s="3" t="n">
        <v>1</v>
      </c>
      <c r="L98" s="3" t="n">
        <v>1</v>
      </c>
      <c r="M98" s="3" t="n">
        <v>1</v>
      </c>
    </row>
    <row r="99">
      <c r="A99" s="3" t="inlineStr">
        <is>
          <t>4G5P</t>
        </is>
      </c>
      <c r="B99" s="3" t="inlineStr">
        <is>
          <t>Afatinib</t>
        </is>
      </c>
      <c r="C99" s="3" t="inlineStr">
        <is>
          <t>0WN+1</t>
        </is>
      </c>
      <c r="D99" s="10" t="n">
        <v>1</v>
      </c>
      <c r="E99" s="10" t="n">
        <v>0.992</v>
      </c>
      <c r="F99" s="10" t="n">
        <v>0.992</v>
      </c>
      <c r="G99" s="10" t="n">
        <v>0.992</v>
      </c>
      <c r="H99" s="10" t="n">
        <v>0.961</v>
      </c>
      <c r="I99" s="10" t="n">
        <v>0.961</v>
      </c>
      <c r="J99" s="10" t="n">
        <v>0.962</v>
      </c>
      <c r="K99" s="3" t="n">
        <v>1</v>
      </c>
      <c r="L99" s="3" t="n">
        <v>1</v>
      </c>
      <c r="M99" s="3" t="n">
        <v>1</v>
      </c>
    </row>
    <row r="100">
      <c r="A100" s="3" t="inlineStr">
        <is>
          <t>4G5P</t>
        </is>
      </c>
      <c r="B100" s="3" t="inlineStr">
        <is>
          <t>Afatinib</t>
        </is>
      </c>
      <c r="C100" s="3" t="inlineStr">
        <is>
          <t>0WN+a</t>
        </is>
      </c>
      <c r="D100" s="10" t="n">
        <v>2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3" t="n">
        <v>1</v>
      </c>
      <c r="L100" s="3" t="n">
        <v>1</v>
      </c>
      <c r="M100" s="3" t="n">
        <v>1</v>
      </c>
    </row>
    <row r="101">
      <c r="A101" s="3" t="inlineStr">
        <is>
          <t>4G5P</t>
        </is>
      </c>
      <c r="B101" s="3" t="inlineStr">
        <is>
          <t>Afatinib</t>
        </is>
      </c>
      <c r="C101" s="3" t="inlineStr">
        <is>
          <t>0WN01</t>
        </is>
      </c>
      <c r="D101" s="10" t="n">
        <v>0</v>
      </c>
      <c r="E101" s="10" t="n">
        <v>0.008</v>
      </c>
      <c r="F101" s="10" t="n">
        <v>0.008</v>
      </c>
      <c r="G101" s="10" t="n">
        <v>0.008</v>
      </c>
      <c r="H101" s="10" t="n">
        <v>0.039</v>
      </c>
      <c r="I101" s="10" t="n">
        <v>0.039</v>
      </c>
      <c r="J101" s="10" t="n">
        <v>0.038</v>
      </c>
      <c r="K101" s="3" t="n">
        <v>1</v>
      </c>
      <c r="L101" s="3" t="n">
        <v>1</v>
      </c>
      <c r="M101" s="3" t="n">
        <v>1</v>
      </c>
    </row>
    <row r="102">
      <c r="A102" s="3" t="inlineStr">
        <is>
          <t>4I22</t>
        </is>
      </c>
      <c r="B102" s="3" t="inlineStr">
        <is>
          <t>Gefitinib</t>
        </is>
      </c>
      <c r="C102" s="3" t="inlineStr">
        <is>
          <t>IRE+1</t>
        </is>
      </c>
      <c r="D102" s="10" t="n">
        <v>1</v>
      </c>
      <c r="E102" s="10" t="n">
        <v>0.298</v>
      </c>
      <c r="F102" s="10" t="n">
        <v>0.298</v>
      </c>
      <c r="G102" s="10" t="n">
        <v>0.298</v>
      </c>
      <c r="H102" s="10" t="n">
        <v>0.478</v>
      </c>
      <c r="I102" s="10" t="n">
        <v>0.492</v>
      </c>
      <c r="J102" s="10" t="n">
        <v>0.522</v>
      </c>
      <c r="K102" s="3" t="n">
        <v>1</v>
      </c>
      <c r="L102" s="3" t="n">
        <v>1</v>
      </c>
      <c r="M102" s="3" t="n">
        <v>1</v>
      </c>
    </row>
    <row r="103">
      <c r="A103" s="3" t="inlineStr">
        <is>
          <t>4I22</t>
        </is>
      </c>
      <c r="B103" s="3" t="inlineStr">
        <is>
          <t>Gefitinib</t>
        </is>
      </c>
      <c r="C103" s="3" t="inlineStr">
        <is>
          <t>IRE+2</t>
        </is>
      </c>
      <c r="D103" s="10" t="n">
        <v>1</v>
      </c>
      <c r="E103" s="10" t="n">
        <v>0.002</v>
      </c>
      <c r="F103" s="10" t="n">
        <v>0.002</v>
      </c>
      <c r="G103" s="10" t="n">
        <v>0.002</v>
      </c>
      <c r="H103" s="10" t="n">
        <v>0</v>
      </c>
      <c r="I103" s="10" t="n">
        <v>0</v>
      </c>
      <c r="J103" s="10" t="n">
        <v>0</v>
      </c>
      <c r="K103" s="3" t="n">
        <v>1</v>
      </c>
      <c r="L103" s="3" t="n">
        <v>1</v>
      </c>
      <c r="M103" s="3" t="n">
        <v>1</v>
      </c>
    </row>
    <row r="104">
      <c r="A104" s="3" t="inlineStr">
        <is>
          <t>4I22</t>
        </is>
      </c>
      <c r="B104" s="3" t="inlineStr">
        <is>
          <t>Gefitinib</t>
        </is>
      </c>
      <c r="C104" s="3" t="inlineStr">
        <is>
          <t>IRE+3</t>
        </is>
      </c>
      <c r="D104" s="10" t="n">
        <v>1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3" t="n">
        <v>1</v>
      </c>
      <c r="L104" s="3" t="n">
        <v>1</v>
      </c>
      <c r="M104" s="3" t="n">
        <v>1</v>
      </c>
    </row>
    <row r="105">
      <c r="A105" s="3" t="inlineStr">
        <is>
          <t>4I22</t>
        </is>
      </c>
      <c r="B105" s="3" t="inlineStr">
        <is>
          <t>Gefitinib</t>
        </is>
      </c>
      <c r="C105" s="3" t="inlineStr">
        <is>
          <t>IRE+a</t>
        </is>
      </c>
      <c r="D105" s="10" t="n">
        <v>2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0" t="n">
        <v>0</v>
      </c>
      <c r="K105" s="3" t="n">
        <v>1</v>
      </c>
      <c r="L105" s="3" t="n">
        <v>1</v>
      </c>
      <c r="M105" s="3" t="n">
        <v>1</v>
      </c>
    </row>
    <row r="106">
      <c r="A106" s="3" t="inlineStr">
        <is>
          <t>4I22</t>
        </is>
      </c>
      <c r="B106" s="3" t="inlineStr">
        <is>
          <t>Gefitinib</t>
        </is>
      </c>
      <c r="C106" s="3" t="inlineStr">
        <is>
          <t>IRE01</t>
        </is>
      </c>
      <c r="D106" s="10" t="n">
        <v>-0</v>
      </c>
      <c r="E106" s="10" t="n">
        <v>0.7</v>
      </c>
      <c r="F106" s="10" t="n">
        <v>0.7</v>
      </c>
      <c r="G106" s="10" t="n">
        <v>0.7</v>
      </c>
      <c r="H106" s="10" t="n">
        <v>0.522</v>
      </c>
      <c r="I106" s="10" t="n">
        <v>0.508</v>
      </c>
      <c r="J106" s="10" t="n">
        <v>0.478</v>
      </c>
      <c r="K106" s="3" t="n">
        <v>1</v>
      </c>
      <c r="L106" s="3" t="n">
        <v>1</v>
      </c>
      <c r="M106" s="3" t="n">
        <v>1</v>
      </c>
    </row>
    <row r="107">
      <c r="A107" s="3" t="inlineStr">
        <is>
          <t>4LMN</t>
        </is>
      </c>
      <c r="B107" s="3" t="inlineStr">
        <is>
          <t>Cobimetinib</t>
        </is>
      </c>
      <c r="C107" s="3" t="inlineStr">
        <is>
          <t>EUI+1</t>
        </is>
      </c>
      <c r="D107" s="10" t="n">
        <v>1</v>
      </c>
      <c r="E107" s="10" t="n">
        <v>0.986</v>
      </c>
      <c r="F107" s="10" t="n">
        <v>0.986</v>
      </c>
      <c r="G107" s="10" t="n">
        <v>0.986</v>
      </c>
      <c r="H107" s="10" t="n">
        <v>0.511</v>
      </c>
      <c r="I107" s="10" t="n">
        <v>0.53</v>
      </c>
      <c r="J107" s="10" t="n">
        <v>0.525</v>
      </c>
      <c r="K107" s="3" t="n">
        <v>1</v>
      </c>
      <c r="L107" s="3" t="n">
        <v>1</v>
      </c>
      <c r="M107" s="3" t="n">
        <v>1</v>
      </c>
    </row>
    <row r="108">
      <c r="A108" s="3" t="inlineStr">
        <is>
          <t>4LMN</t>
        </is>
      </c>
      <c r="B108" s="3" t="inlineStr">
        <is>
          <t>Cobimetinib</t>
        </is>
      </c>
      <c r="C108" s="3" t="inlineStr">
        <is>
          <t>EUI01</t>
        </is>
      </c>
      <c r="D108" s="10" t="n">
        <v>-0</v>
      </c>
      <c r="E108" s="10" t="n">
        <v>0.014</v>
      </c>
      <c r="F108" s="10" t="n">
        <v>0.014</v>
      </c>
      <c r="G108" s="10" t="n">
        <v>0.014</v>
      </c>
      <c r="H108" s="10" t="n">
        <v>0.489</v>
      </c>
      <c r="I108" s="10" t="n">
        <v>0.47</v>
      </c>
      <c r="J108" s="10" t="n">
        <v>0.475</v>
      </c>
      <c r="K108" s="3" t="n">
        <v>1</v>
      </c>
      <c r="L108" s="3" t="n">
        <v>1</v>
      </c>
      <c r="M108" s="3" t="n">
        <v>1</v>
      </c>
    </row>
    <row r="109">
      <c r="A109" s="3" t="inlineStr">
        <is>
          <t>4LMN</t>
        </is>
      </c>
      <c r="B109" s="3" t="inlineStr">
        <is>
          <t>Cobimetinib</t>
        </is>
      </c>
      <c r="C109" s="3" t="inlineStr">
        <is>
          <t>EUI02</t>
        </is>
      </c>
      <c r="D109" s="10" t="n">
        <v>-0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3" t="n">
        <v>1</v>
      </c>
      <c r="L109" s="3" t="n">
        <v>1</v>
      </c>
      <c r="M109" s="3" t="n">
        <v>1</v>
      </c>
    </row>
    <row r="110">
      <c r="A110" s="3" t="inlineStr">
        <is>
          <t>4MKC</t>
        </is>
      </c>
      <c r="B110" s="3" t="inlineStr">
        <is>
          <t>Ceritinib</t>
        </is>
      </c>
      <c r="C110" s="3" t="inlineStr">
        <is>
          <t>4MK+1</t>
        </is>
      </c>
      <c r="D110" s="10" t="n">
        <v>1</v>
      </c>
      <c r="E110" s="10" t="n">
        <v>0.999</v>
      </c>
      <c r="F110" s="10" t="n">
        <v>0.999</v>
      </c>
      <c r="G110" s="10" t="n">
        <v>0.999</v>
      </c>
      <c r="H110" s="10" t="n">
        <v>1</v>
      </c>
      <c r="I110" s="10" t="n">
        <v>1</v>
      </c>
      <c r="J110" s="10" t="n">
        <v>1</v>
      </c>
      <c r="K110" s="3" t="n">
        <v>1</v>
      </c>
      <c r="L110" s="3" t="n">
        <v>1</v>
      </c>
      <c r="M110" s="3" t="n">
        <v>1</v>
      </c>
    </row>
    <row r="111">
      <c r="A111" s="3" t="inlineStr">
        <is>
          <t>4MKC</t>
        </is>
      </c>
      <c r="B111" s="3" t="inlineStr">
        <is>
          <t>Ceritinib</t>
        </is>
      </c>
      <c r="C111" s="3" t="inlineStr">
        <is>
          <t>4MK+a</t>
        </is>
      </c>
      <c r="D111" s="10" t="n">
        <v>2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3" t="n">
        <v>1</v>
      </c>
      <c r="L111" s="3" t="n">
        <v>1</v>
      </c>
      <c r="M111" s="3" t="n">
        <v>1</v>
      </c>
    </row>
    <row r="112">
      <c r="A112" s="3" t="inlineStr">
        <is>
          <t>4MKC</t>
        </is>
      </c>
      <c r="B112" s="3" t="inlineStr">
        <is>
          <t>Ceritinib</t>
        </is>
      </c>
      <c r="C112" s="3" t="inlineStr">
        <is>
          <t>4MK01</t>
        </is>
      </c>
      <c r="D112" s="10" t="n">
        <v>-0</v>
      </c>
      <c r="E112" s="10" t="n">
        <v>0.001</v>
      </c>
      <c r="F112" s="10" t="n">
        <v>0.001</v>
      </c>
      <c r="G112" s="10" t="n">
        <v>0.001</v>
      </c>
      <c r="H112" s="10" t="n">
        <v>0</v>
      </c>
      <c r="I112" s="10" t="n">
        <v>0</v>
      </c>
      <c r="J112" s="10" t="n">
        <v>0</v>
      </c>
      <c r="K112" s="3" t="n">
        <v>1</v>
      </c>
      <c r="L112" s="3" t="n">
        <v>1</v>
      </c>
      <c r="M112" s="3" t="n">
        <v>1</v>
      </c>
    </row>
    <row r="113">
      <c r="A113" s="3" t="inlineStr">
        <is>
          <t>4WKQ</t>
        </is>
      </c>
      <c r="B113" s="3" t="inlineStr">
        <is>
          <t>Gefitinib</t>
        </is>
      </c>
      <c r="C113" s="3" t="inlineStr">
        <is>
          <t>IRE+1</t>
        </is>
      </c>
      <c r="D113" s="10" t="n">
        <v>1</v>
      </c>
      <c r="E113" s="10" t="n">
        <v>0.298</v>
      </c>
      <c r="F113" s="10" t="n">
        <v>0.298</v>
      </c>
      <c r="G113" s="10" t="n">
        <v>0.298</v>
      </c>
      <c r="H113" s="10" t="n">
        <v>0.427</v>
      </c>
      <c r="I113" s="10" t="n">
        <v>0.49</v>
      </c>
      <c r="J113" s="10" t="n">
        <v>0.47</v>
      </c>
      <c r="K113" s="3" t="n">
        <v>1</v>
      </c>
      <c r="L113" s="3" t="n">
        <v>1</v>
      </c>
      <c r="M113" s="3" t="n">
        <v>1</v>
      </c>
    </row>
    <row r="114">
      <c r="A114" s="3" t="inlineStr">
        <is>
          <t>4WKQ</t>
        </is>
      </c>
      <c r="B114" s="3" t="inlineStr">
        <is>
          <t>Gefitinib</t>
        </is>
      </c>
      <c r="C114" s="3" t="inlineStr">
        <is>
          <t>IRE+2</t>
        </is>
      </c>
      <c r="D114" s="10" t="n">
        <v>1</v>
      </c>
      <c r="E114" s="10" t="n">
        <v>0.002</v>
      </c>
      <c r="F114" s="10" t="n">
        <v>0.002</v>
      </c>
      <c r="G114" s="10" t="n">
        <v>0.002</v>
      </c>
      <c r="H114" s="10" t="n">
        <v>0</v>
      </c>
      <c r="I114" s="10" t="n">
        <v>0</v>
      </c>
      <c r="J114" s="10" t="n">
        <v>0</v>
      </c>
      <c r="K114" s="3" t="n">
        <v>1</v>
      </c>
      <c r="L114" s="3" t="n">
        <v>1</v>
      </c>
      <c r="M114" s="3" t="n">
        <v>1</v>
      </c>
    </row>
    <row r="115">
      <c r="A115" s="3" t="inlineStr">
        <is>
          <t>4WKQ</t>
        </is>
      </c>
      <c r="B115" s="3" t="inlineStr">
        <is>
          <t>Gefitinib</t>
        </is>
      </c>
      <c r="C115" s="3" t="inlineStr">
        <is>
          <t>IRE+3</t>
        </is>
      </c>
      <c r="D115" s="10" t="n">
        <v>1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3" t="n">
        <v>1</v>
      </c>
      <c r="L115" s="3" t="n">
        <v>1</v>
      </c>
      <c r="M115" s="3" t="n">
        <v>1</v>
      </c>
    </row>
    <row r="116">
      <c r="A116" s="3" t="inlineStr">
        <is>
          <t>4WKQ</t>
        </is>
      </c>
      <c r="B116" s="3" t="inlineStr">
        <is>
          <t>Gefitinib</t>
        </is>
      </c>
      <c r="C116" s="3" t="inlineStr">
        <is>
          <t>IRE+a</t>
        </is>
      </c>
      <c r="D116" s="10" t="n">
        <v>2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3" t="n">
        <v>1</v>
      </c>
      <c r="L116" s="3" t="n">
        <v>1</v>
      </c>
      <c r="M116" s="3" t="n">
        <v>1</v>
      </c>
    </row>
    <row r="117">
      <c r="A117" s="3" t="inlineStr">
        <is>
          <t>4WKQ</t>
        </is>
      </c>
      <c r="B117" s="3" t="inlineStr">
        <is>
          <t>Gefitinib</t>
        </is>
      </c>
      <c r="C117" s="3" t="inlineStr">
        <is>
          <t>IRE01</t>
        </is>
      </c>
      <c r="D117" s="10" t="n">
        <v>-0</v>
      </c>
      <c r="E117" s="10" t="n">
        <v>0.7</v>
      </c>
      <c r="F117" s="10" t="n">
        <v>0.7</v>
      </c>
      <c r="G117" s="10" t="n">
        <v>0.7</v>
      </c>
      <c r="H117" s="10" t="n">
        <v>0.573</v>
      </c>
      <c r="I117" s="10" t="n">
        <v>0.51</v>
      </c>
      <c r="J117" s="10" t="n">
        <v>0.53</v>
      </c>
      <c r="K117" s="3" t="n">
        <v>1</v>
      </c>
      <c r="L117" s="3" t="n">
        <v>1</v>
      </c>
      <c r="M117" s="3" t="n">
        <v>1</v>
      </c>
    </row>
    <row r="118">
      <c r="A118" s="3" t="inlineStr">
        <is>
          <t>4ZAU</t>
        </is>
      </c>
      <c r="B118" s="3" t="inlineStr">
        <is>
          <t>Osimertinib</t>
        </is>
      </c>
      <c r="C118" s="3" t="inlineStr">
        <is>
          <t>YY3+1</t>
        </is>
      </c>
      <c r="D118" s="10" t="n">
        <v>1</v>
      </c>
      <c r="E118" s="10" t="n">
        <v>0.974</v>
      </c>
      <c r="F118" s="10" t="n">
        <v>0.974</v>
      </c>
      <c r="G118" s="10" t="n">
        <v>0.974</v>
      </c>
      <c r="H118" s="10" t="n">
        <v>0.989</v>
      </c>
      <c r="I118" s="10" t="n">
        <v>0.983</v>
      </c>
      <c r="J118" s="10" t="n">
        <v>0.982</v>
      </c>
      <c r="K118" s="3" t="n">
        <v>1</v>
      </c>
      <c r="L118" s="3" t="n">
        <v>1</v>
      </c>
      <c r="M118" s="3" t="n">
        <v>1</v>
      </c>
    </row>
    <row r="119">
      <c r="A119" s="3" t="inlineStr">
        <is>
          <t>4ZAU</t>
        </is>
      </c>
      <c r="B119" s="3" t="inlineStr">
        <is>
          <t>Osimertinib</t>
        </is>
      </c>
      <c r="C119" s="3" t="inlineStr">
        <is>
          <t>YY3+2</t>
        </is>
      </c>
      <c r="D119" s="10" t="n">
        <v>1</v>
      </c>
      <c r="E119" s="10" t="n">
        <v>0.004</v>
      </c>
      <c r="F119" s="10" t="n">
        <v>0.004</v>
      </c>
      <c r="G119" s="10" t="n">
        <v>0.004</v>
      </c>
      <c r="H119" s="10" t="n">
        <v>0.004</v>
      </c>
      <c r="I119" s="10" t="n">
        <v>0.002</v>
      </c>
      <c r="J119" s="10" t="n">
        <v>0.004</v>
      </c>
      <c r="K119" s="3" t="n">
        <v>1</v>
      </c>
      <c r="L119" s="3" t="n">
        <v>1</v>
      </c>
      <c r="M119" s="3" t="n">
        <v>1</v>
      </c>
    </row>
    <row r="120">
      <c r="A120" s="3" t="inlineStr">
        <is>
          <t>4ZAU</t>
        </is>
      </c>
      <c r="B120" s="3" t="inlineStr">
        <is>
          <t>Osimertinib</t>
        </is>
      </c>
      <c r="C120" s="3" t="inlineStr">
        <is>
          <t>YY3+3</t>
        </is>
      </c>
      <c r="D120" s="10" t="n">
        <v>1</v>
      </c>
      <c r="E120" s="10" t="n">
        <v>0.001</v>
      </c>
      <c r="F120" s="10" t="n">
        <v>0.001</v>
      </c>
      <c r="G120" s="10" t="n">
        <v>0.001</v>
      </c>
      <c r="H120" s="10" t="n">
        <v>0</v>
      </c>
      <c r="I120" s="10" t="n">
        <v>0.008</v>
      </c>
      <c r="J120" s="10" t="n">
        <v>0.004</v>
      </c>
      <c r="K120" s="3" t="n">
        <v>3</v>
      </c>
      <c r="L120" s="3" t="n">
        <v>3</v>
      </c>
      <c r="M120" s="3" t="n">
        <v>3</v>
      </c>
    </row>
    <row r="121">
      <c r="A121" s="3" t="inlineStr">
        <is>
          <t>4ZAU</t>
        </is>
      </c>
      <c r="B121" s="3" t="inlineStr">
        <is>
          <t>Osimertinib</t>
        </is>
      </c>
      <c r="C121" s="3" t="inlineStr">
        <is>
          <t>YY3+4</t>
        </is>
      </c>
      <c r="D121" s="10" t="n">
        <v>1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3" t="n">
        <v>3</v>
      </c>
      <c r="L121" s="3" t="n">
        <v>3</v>
      </c>
      <c r="M121" s="3" t="n">
        <v>3</v>
      </c>
    </row>
    <row r="122">
      <c r="A122" s="3" t="inlineStr">
        <is>
          <t>4ZAU</t>
        </is>
      </c>
      <c r="B122" s="3" t="inlineStr">
        <is>
          <t>Osimertinib</t>
        </is>
      </c>
      <c r="C122" s="3" t="inlineStr">
        <is>
          <t>YY3+a</t>
        </is>
      </c>
      <c r="D122" s="10" t="n">
        <v>2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3" t="n">
        <v>3</v>
      </c>
      <c r="L122" s="3" t="n">
        <v>3</v>
      </c>
      <c r="M122" s="3" t="n">
        <v>3</v>
      </c>
    </row>
    <row r="123">
      <c r="A123" s="3" t="inlineStr">
        <is>
          <t>4ZAU</t>
        </is>
      </c>
      <c r="B123" s="3" t="inlineStr">
        <is>
          <t>Osimertinib</t>
        </is>
      </c>
      <c r="C123" s="3" t="inlineStr">
        <is>
          <t>YY3+b</t>
        </is>
      </c>
      <c r="D123" s="10" t="n">
        <v>2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3" t="n">
        <v>1</v>
      </c>
      <c r="L123" s="3" t="n">
        <v>1</v>
      </c>
      <c r="M123" s="3" t="n">
        <v>1</v>
      </c>
    </row>
    <row r="124">
      <c r="A124" s="3" t="inlineStr">
        <is>
          <t>4ZAU</t>
        </is>
      </c>
      <c r="B124" s="3" t="inlineStr">
        <is>
          <t>Osimertinib</t>
        </is>
      </c>
      <c r="C124" s="3" t="inlineStr">
        <is>
          <t>YY301</t>
        </is>
      </c>
      <c r="D124" s="10" t="n">
        <v>0</v>
      </c>
      <c r="E124" s="10" t="n">
        <v>0.021</v>
      </c>
      <c r="F124" s="10" t="n">
        <v>0.021</v>
      </c>
      <c r="G124" s="10" t="n">
        <v>0.021</v>
      </c>
      <c r="H124" s="10" t="n">
        <v>0.007</v>
      </c>
      <c r="I124" s="10" t="n">
        <v>0.007</v>
      </c>
      <c r="J124" s="10" t="n">
        <v>0.01</v>
      </c>
      <c r="K124" s="3" t="n">
        <v>1</v>
      </c>
      <c r="L124" s="3" t="n">
        <v>1</v>
      </c>
      <c r="M124" s="3" t="n">
        <v>1</v>
      </c>
    </row>
    <row r="125">
      <c r="A125" s="3" t="inlineStr">
        <is>
          <t>5AAA</t>
        </is>
      </c>
      <c r="B125" s="3" t="inlineStr">
        <is>
          <t>Crizotinib</t>
        </is>
      </c>
      <c r="C125" s="3" t="inlineStr">
        <is>
          <t>VGH+1</t>
        </is>
      </c>
      <c r="D125" s="10" t="n">
        <v>1</v>
      </c>
      <c r="E125" s="10" t="n">
        <v>0.378</v>
      </c>
      <c r="F125" s="10" t="n">
        <v>0.378</v>
      </c>
      <c r="G125" s="10" t="n">
        <v>0.378</v>
      </c>
      <c r="H125" s="10" t="n">
        <v>1</v>
      </c>
      <c r="I125" s="10" t="n">
        <v>1</v>
      </c>
      <c r="J125" s="10" t="n">
        <v>1</v>
      </c>
      <c r="K125" s="3" t="n">
        <v>1</v>
      </c>
      <c r="L125" s="3" t="n">
        <v>1</v>
      </c>
      <c r="M125" s="3" t="n">
        <v>1</v>
      </c>
    </row>
    <row r="126">
      <c r="A126" s="3" t="inlineStr">
        <is>
          <t>5AAA</t>
        </is>
      </c>
      <c r="B126" s="3" t="inlineStr">
        <is>
          <t>Crizotinib</t>
        </is>
      </c>
      <c r="C126" s="3" t="inlineStr">
        <is>
          <t>VGH+2</t>
        </is>
      </c>
      <c r="D126" s="10" t="n">
        <v>1</v>
      </c>
      <c r="E126" s="10" t="n">
        <v>0.002</v>
      </c>
      <c r="F126" s="10" t="n">
        <v>0.002</v>
      </c>
      <c r="G126" s="10" t="n">
        <v>0.002</v>
      </c>
      <c r="H126" s="10" t="n">
        <v>0</v>
      </c>
      <c r="I126" s="10" t="n">
        <v>0</v>
      </c>
      <c r="J126" s="10" t="n">
        <v>0</v>
      </c>
      <c r="K126" s="3" t="n">
        <v>1</v>
      </c>
      <c r="L126" s="3" t="n">
        <v>1</v>
      </c>
      <c r="M126" s="3" t="n">
        <v>1</v>
      </c>
    </row>
    <row r="127">
      <c r="A127" s="3" t="inlineStr">
        <is>
          <t>5AAA</t>
        </is>
      </c>
      <c r="B127" s="3" t="inlineStr">
        <is>
          <t>Crizotinib</t>
        </is>
      </c>
      <c r="C127" s="3" t="inlineStr">
        <is>
          <t>VGH+a</t>
        </is>
      </c>
      <c r="D127" s="10" t="n">
        <v>2</v>
      </c>
      <c r="E127" s="10" t="n">
        <v>0.615</v>
      </c>
      <c r="F127" s="10" t="n">
        <v>0.615</v>
      </c>
      <c r="G127" s="10" t="n">
        <v>0.615</v>
      </c>
      <c r="H127" s="10" t="n">
        <v>0</v>
      </c>
      <c r="I127" s="10" t="n">
        <v>0</v>
      </c>
      <c r="J127" s="10" t="n">
        <v>0</v>
      </c>
      <c r="K127" s="3" t="n">
        <v>2</v>
      </c>
      <c r="L127" s="3" t="n">
        <v>1</v>
      </c>
      <c r="M127" s="3" t="n">
        <v>1</v>
      </c>
    </row>
    <row r="128">
      <c r="A128" s="3" t="inlineStr">
        <is>
          <t>5AAA</t>
        </is>
      </c>
      <c r="B128" s="3" t="inlineStr">
        <is>
          <t>Crizotinib</t>
        </is>
      </c>
      <c r="C128" s="3" t="inlineStr">
        <is>
          <t>VGH01</t>
        </is>
      </c>
      <c r="D128" s="10" t="n">
        <v>0</v>
      </c>
      <c r="E128" s="10" t="n">
        <v>0.005</v>
      </c>
      <c r="F128" s="10" t="n">
        <v>0.005</v>
      </c>
      <c r="G128" s="10" t="n">
        <v>0.005</v>
      </c>
      <c r="H128" s="10" t="n">
        <v>0</v>
      </c>
      <c r="I128" s="10" t="n">
        <v>0</v>
      </c>
      <c r="J128" s="10" t="n">
        <v>0</v>
      </c>
      <c r="K128" s="3" t="n">
        <v>1</v>
      </c>
      <c r="L128" s="3" t="n">
        <v>1</v>
      </c>
      <c r="M128" s="3" t="n">
        <v>1</v>
      </c>
    </row>
    <row r="129">
      <c r="A129" s="3" t="inlineStr">
        <is>
          <t>5AAB</t>
        </is>
      </c>
      <c r="B129" s="3" t="inlineStr">
        <is>
          <t>Crizotinib</t>
        </is>
      </c>
      <c r="C129" s="3" t="inlineStr">
        <is>
          <t>VGH+1</t>
        </is>
      </c>
      <c r="D129" s="10" t="n">
        <v>1</v>
      </c>
      <c r="E129" s="10" t="n">
        <v>0.378</v>
      </c>
      <c r="F129" s="10" t="n">
        <v>0.378</v>
      </c>
      <c r="G129" s="10" t="n">
        <v>0.378</v>
      </c>
      <c r="H129" s="10" t="n">
        <v>1</v>
      </c>
      <c r="I129" s="10" t="n">
        <v>0.999</v>
      </c>
      <c r="J129" s="10" t="n">
        <v>1</v>
      </c>
      <c r="K129" s="3" t="n">
        <v>1</v>
      </c>
      <c r="L129" s="3" t="n">
        <v>1</v>
      </c>
      <c r="M129" s="3" t="n">
        <v>1</v>
      </c>
    </row>
    <row r="130">
      <c r="A130" s="3" t="inlineStr">
        <is>
          <t>5AAB</t>
        </is>
      </c>
      <c r="B130" s="3" t="inlineStr">
        <is>
          <t>Crizotinib</t>
        </is>
      </c>
      <c r="C130" s="3" t="inlineStr">
        <is>
          <t>VGH+2</t>
        </is>
      </c>
      <c r="D130" s="10" t="n">
        <v>1</v>
      </c>
      <c r="E130" s="10" t="n">
        <v>0.002</v>
      </c>
      <c r="F130" s="10" t="n">
        <v>0.002</v>
      </c>
      <c r="G130" s="10" t="n">
        <v>0.002</v>
      </c>
      <c r="H130" s="10" t="n">
        <v>0</v>
      </c>
      <c r="I130" s="10" t="n">
        <v>0</v>
      </c>
      <c r="J130" s="10" t="n">
        <v>0</v>
      </c>
      <c r="K130" s="3" t="n">
        <v>1</v>
      </c>
      <c r="L130" s="3" t="n">
        <v>1</v>
      </c>
      <c r="M130" s="3" t="n">
        <v>1</v>
      </c>
    </row>
    <row r="131">
      <c r="A131" s="3" t="inlineStr">
        <is>
          <t>5AAB</t>
        </is>
      </c>
      <c r="B131" s="3" t="inlineStr">
        <is>
          <t>Crizotinib</t>
        </is>
      </c>
      <c r="C131" s="3" t="inlineStr">
        <is>
          <t>VGH+a</t>
        </is>
      </c>
      <c r="D131" s="10" t="n">
        <v>2</v>
      </c>
      <c r="E131" s="10" t="n">
        <v>0.615</v>
      </c>
      <c r="F131" s="10" t="n">
        <v>0.615</v>
      </c>
      <c r="G131" s="10" t="n">
        <v>0.615</v>
      </c>
      <c r="H131" s="10" t="n">
        <v>0</v>
      </c>
      <c r="I131" s="10" t="n">
        <v>0</v>
      </c>
      <c r="J131" s="10" t="n">
        <v>0</v>
      </c>
      <c r="K131" s="3" t="n">
        <v>2</v>
      </c>
      <c r="L131" s="3" t="n">
        <v>1</v>
      </c>
      <c r="M131" s="3" t="n">
        <v>1</v>
      </c>
    </row>
    <row r="132">
      <c r="A132" s="3" t="inlineStr">
        <is>
          <t>5AAB</t>
        </is>
      </c>
      <c r="B132" s="3" t="inlineStr">
        <is>
          <t>Crizotinib</t>
        </is>
      </c>
      <c r="C132" s="3" t="inlineStr">
        <is>
          <t>VGH01</t>
        </is>
      </c>
      <c r="D132" s="10" t="n">
        <v>0</v>
      </c>
      <c r="E132" s="10" t="n">
        <v>0.005</v>
      </c>
      <c r="F132" s="10" t="n">
        <v>0.005</v>
      </c>
      <c r="G132" s="10" t="n">
        <v>0.005</v>
      </c>
      <c r="H132" s="10" t="n">
        <v>0</v>
      </c>
      <c r="I132" s="10" t="n">
        <v>0.001</v>
      </c>
      <c r="J132" s="10" t="n">
        <v>0</v>
      </c>
      <c r="K132" s="3" t="n">
        <v>1</v>
      </c>
      <c r="L132" s="3" t="n">
        <v>1</v>
      </c>
      <c r="M132" s="3" t="n">
        <v>1</v>
      </c>
    </row>
    <row r="133">
      <c r="A133" s="3" t="inlineStr">
        <is>
          <t>5AAC</t>
        </is>
      </c>
      <c r="B133" s="3" t="inlineStr">
        <is>
          <t>Crizotinib</t>
        </is>
      </c>
      <c r="C133" s="3" t="inlineStr">
        <is>
          <t>VGH+1</t>
        </is>
      </c>
      <c r="D133" s="10" t="n">
        <v>1</v>
      </c>
      <c r="E133" s="10" t="n">
        <v>0.378</v>
      </c>
      <c r="F133" s="10" t="n">
        <v>0.378</v>
      </c>
      <c r="G133" s="10" t="n">
        <v>0.378</v>
      </c>
      <c r="H133" s="10" t="n">
        <v>1</v>
      </c>
      <c r="I133" s="10" t="n">
        <v>1</v>
      </c>
      <c r="J133" s="10" t="n">
        <v>1</v>
      </c>
      <c r="K133" s="3" t="n">
        <v>1</v>
      </c>
      <c r="L133" s="3" t="n">
        <v>1</v>
      </c>
      <c r="M133" s="3" t="n">
        <v>1</v>
      </c>
    </row>
    <row r="134">
      <c r="A134" s="3" t="inlineStr">
        <is>
          <t>5AAC</t>
        </is>
      </c>
      <c r="B134" s="3" t="inlineStr">
        <is>
          <t>Crizotinib</t>
        </is>
      </c>
      <c r="C134" s="3" t="inlineStr">
        <is>
          <t>VGH+2</t>
        </is>
      </c>
      <c r="D134" s="10" t="n">
        <v>1</v>
      </c>
      <c r="E134" s="10" t="n">
        <v>0.002</v>
      </c>
      <c r="F134" s="10" t="n">
        <v>0.002</v>
      </c>
      <c r="G134" s="10" t="n">
        <v>0.002</v>
      </c>
      <c r="H134" s="10" t="n">
        <v>0</v>
      </c>
      <c r="I134" s="10" t="n">
        <v>0</v>
      </c>
      <c r="J134" s="10" t="n">
        <v>0</v>
      </c>
      <c r="K134" s="3" t="n">
        <v>1</v>
      </c>
      <c r="L134" s="3" t="n">
        <v>1</v>
      </c>
      <c r="M134" s="3" t="n">
        <v>1</v>
      </c>
    </row>
    <row r="135">
      <c r="A135" s="3" t="inlineStr">
        <is>
          <t>5AAC</t>
        </is>
      </c>
      <c r="B135" s="3" t="inlineStr">
        <is>
          <t>Crizotinib</t>
        </is>
      </c>
      <c r="C135" s="3" t="inlineStr">
        <is>
          <t>VGH+a</t>
        </is>
      </c>
      <c r="D135" s="10" t="n">
        <v>2</v>
      </c>
      <c r="E135" s="10" t="n">
        <v>0.615</v>
      </c>
      <c r="F135" s="10" t="n">
        <v>0.615</v>
      </c>
      <c r="G135" s="10" t="n">
        <v>0.615</v>
      </c>
      <c r="H135" s="10" t="n">
        <v>0</v>
      </c>
      <c r="I135" s="10" t="n">
        <v>0</v>
      </c>
      <c r="J135" s="10" t="n">
        <v>0</v>
      </c>
      <c r="K135" s="3" t="n">
        <v>2</v>
      </c>
      <c r="L135" s="3" t="n">
        <v>1</v>
      </c>
      <c r="M135" s="3" t="n">
        <v>1</v>
      </c>
    </row>
    <row r="136">
      <c r="A136" s="3" t="inlineStr">
        <is>
          <t>5AAC</t>
        </is>
      </c>
      <c r="B136" s="3" t="inlineStr">
        <is>
          <t>Crizotinib</t>
        </is>
      </c>
      <c r="C136" s="3" t="inlineStr">
        <is>
          <t>VGH01</t>
        </is>
      </c>
      <c r="D136" s="10" t="n">
        <v>0</v>
      </c>
      <c r="E136" s="10" t="n">
        <v>0.005</v>
      </c>
      <c r="F136" s="10" t="n">
        <v>0.005</v>
      </c>
      <c r="G136" s="10" t="n">
        <v>0.005</v>
      </c>
      <c r="H136" s="10" t="n">
        <v>0</v>
      </c>
      <c r="I136" s="10" t="n">
        <v>0</v>
      </c>
      <c r="J136" s="10" t="n">
        <v>0</v>
      </c>
      <c r="K136" s="3" t="n">
        <v>1</v>
      </c>
      <c r="L136" s="3" t="n">
        <v>1</v>
      </c>
      <c r="M136" s="3" t="n">
        <v>1</v>
      </c>
    </row>
    <row r="137">
      <c r="A137" s="3" t="inlineStr">
        <is>
          <t>5L2I</t>
        </is>
      </c>
      <c r="B137" s="3" t="inlineStr">
        <is>
          <t>Palbociclib</t>
        </is>
      </c>
      <c r="C137" s="3" t="inlineStr">
        <is>
          <t>LQQ+1</t>
        </is>
      </c>
      <c r="D137" s="10" t="n">
        <v>1</v>
      </c>
      <c r="E137" s="10" t="n">
        <v>0.975</v>
      </c>
      <c r="F137" s="10" t="n">
        <v>0.975</v>
      </c>
      <c r="G137" s="10" t="n">
        <v>0.975</v>
      </c>
      <c r="H137" s="10" t="n">
        <v>0.993</v>
      </c>
      <c r="I137" s="10" t="n">
        <v>0.994</v>
      </c>
      <c r="J137" s="10" t="n">
        <v>0.994</v>
      </c>
      <c r="K137" s="3" t="n">
        <v>1</v>
      </c>
      <c r="L137" s="3" t="n">
        <v>1</v>
      </c>
      <c r="M137" s="3" t="n">
        <v>1</v>
      </c>
    </row>
    <row r="138">
      <c r="A138" s="3" t="inlineStr">
        <is>
          <t>5L2I</t>
        </is>
      </c>
      <c r="B138" s="3" t="inlineStr">
        <is>
          <t>Palbociclib</t>
        </is>
      </c>
      <c r="C138" s="3" t="inlineStr">
        <is>
          <t>LQQ01</t>
        </is>
      </c>
      <c r="D138" s="10" t="n">
        <v>0</v>
      </c>
      <c r="E138" s="10" t="n">
        <v>0.025</v>
      </c>
      <c r="F138" s="10" t="n">
        <v>0.025</v>
      </c>
      <c r="G138" s="10" t="n">
        <v>0.025</v>
      </c>
      <c r="H138" s="10" t="n">
        <v>0.007</v>
      </c>
      <c r="I138" s="10" t="n">
        <v>0.006</v>
      </c>
      <c r="J138" s="10" t="n">
        <v>0.006</v>
      </c>
      <c r="K138" s="3" t="n">
        <v>1</v>
      </c>
      <c r="L138" s="3" t="n">
        <v>1</v>
      </c>
      <c r="M138" s="3" t="n">
        <v>1</v>
      </c>
    </row>
    <row r="139">
      <c r="A139" s="3" t="inlineStr">
        <is>
          <t>5MO4</t>
        </is>
      </c>
      <c r="B139" s="3" t="inlineStr">
        <is>
          <t>Nilotinib</t>
        </is>
      </c>
      <c r="C139" s="3" t="inlineStr">
        <is>
          <t>NIL+1</t>
        </is>
      </c>
      <c r="D139" s="10" t="n">
        <v>1</v>
      </c>
      <c r="E139" s="10" t="n">
        <v>0.093</v>
      </c>
      <c r="F139" s="10" t="n">
        <v>0.093</v>
      </c>
      <c r="G139" s="10" t="n">
        <v>0.093</v>
      </c>
      <c r="H139" s="10" t="n">
        <v>0.231</v>
      </c>
      <c r="I139" s="10" t="n">
        <v>0.225</v>
      </c>
      <c r="J139" s="10" t="n">
        <v>0.247</v>
      </c>
      <c r="K139" s="3" t="n">
        <v>1</v>
      </c>
      <c r="L139" s="3" t="n">
        <v>1</v>
      </c>
      <c r="M139" s="3" t="n">
        <v>1</v>
      </c>
    </row>
    <row r="140">
      <c r="A140" s="3" t="inlineStr">
        <is>
          <t>5MO4</t>
        </is>
      </c>
      <c r="B140" s="3" t="inlineStr">
        <is>
          <t>Nilotinib</t>
        </is>
      </c>
      <c r="C140" s="3" t="inlineStr">
        <is>
          <t>NIL+2</t>
        </is>
      </c>
      <c r="D140" s="10" t="n">
        <v>1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3" t="n">
        <v>1</v>
      </c>
      <c r="L140" s="3" t="n">
        <v>1</v>
      </c>
      <c r="M140" s="3" t="n">
        <v>1</v>
      </c>
    </row>
    <row r="141">
      <c r="A141" s="3" t="inlineStr">
        <is>
          <t>5MO4</t>
        </is>
      </c>
      <c r="B141" s="3" t="inlineStr">
        <is>
          <t>Nilotinib</t>
        </is>
      </c>
      <c r="C141" s="3" t="inlineStr">
        <is>
          <t>NIL01</t>
        </is>
      </c>
      <c r="D141" s="10" t="n">
        <v>-0</v>
      </c>
      <c r="E141" s="10" t="n">
        <v>0.907</v>
      </c>
      <c r="F141" s="10" t="n">
        <v>0.907</v>
      </c>
      <c r="G141" s="10" t="n">
        <v>0.907</v>
      </c>
      <c r="H141" s="10" t="n">
        <v>0.769</v>
      </c>
      <c r="I141" s="10" t="n">
        <v>0.775</v>
      </c>
      <c r="J141" s="10" t="n">
        <v>0.753</v>
      </c>
      <c r="K141" s="3" t="n">
        <v>1</v>
      </c>
      <c r="L141" s="3" t="n">
        <v>1</v>
      </c>
      <c r="M141" s="3" t="n">
        <v>1</v>
      </c>
    </row>
    <row r="143">
      <c r="A143" s="5" t="inlineStr">
        <is>
          <t>Occupancy at pH 7.4 from xts_fort.38, summed over the rotamers of each conformer type, per trial. Charge from head3.lst. Types rather than individual rotamers because step2 is stochastic: the rotamer count inside a type varies between trials, so rotamers cannot be matched one-to-one.</t>
        </is>
      </c>
    </row>
  </sheetData>
  <mergeCells count="3">
    <mergeCell ref="H1:J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9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SI-Table2: ligand conformer populations at pH 7.4, mean of the trials</t>
        </is>
      </c>
    </row>
    <row r="2">
      <c r="A2" s="5" t="inlineStr">
        <is>
          <t>One row per conformer type (protonation / tautomer state); the rotamers of a type are summed within each trial, then averaged. ± columns are SEM (SD/√n).</t>
        </is>
      </c>
    </row>
    <row r="3">
      <c r="A3" s="6" t="inlineStr">
        <is>
          <t>RT (kcal/mol)</t>
        </is>
      </c>
      <c r="B3" s="11" t="n">
        <v>0.5925</v>
      </c>
      <c r="C3" s="5" t="inlineStr">
        <is>
          <t>energy = -RT·ln(P(i) soln) ; Boltzmann = exp(-energy/RT) ; Stat Mech = Boltzmann / ΣBoltzmann</t>
        </is>
      </c>
    </row>
    <row r="5">
      <c r="A5" s="1" t="inlineStr"/>
      <c r="B5" s="1" t="inlineStr"/>
      <c r="C5" s="1" t="inlineStr"/>
      <c r="D5" s="1" t="inlineStr"/>
      <c r="E5" s="1" t="inlineStr">
        <is>
          <t>from P(i) soln</t>
        </is>
      </c>
      <c r="H5" s="1" t="inlineStr">
        <is>
          <t>P(i) soln</t>
        </is>
      </c>
      <c r="J5" s="1" t="inlineStr">
        <is>
          <t>P(i) bound</t>
        </is>
      </c>
    </row>
    <row r="6">
      <c r="A6" s="2" t="inlineStr">
        <is>
          <t>PDBID</t>
        </is>
      </c>
      <c r="B6" s="2" t="inlineStr">
        <is>
          <t>Ligand</t>
        </is>
      </c>
      <c r="C6" s="2" t="inlineStr">
        <is>
          <t>Conf type</t>
        </is>
      </c>
      <c r="D6" s="2" t="inlineStr">
        <is>
          <t>charge</t>
        </is>
      </c>
      <c r="E6" s="2" t="inlineStr">
        <is>
          <t>energy</t>
        </is>
      </c>
      <c r="F6" s="2" t="inlineStr">
        <is>
          <t>Boltzmann Factor</t>
        </is>
      </c>
      <c r="G6" s="2" t="inlineStr">
        <is>
          <t>Stat Mech</t>
        </is>
      </c>
      <c r="H6" s="2" t="inlineStr">
        <is>
          <t>mean</t>
        </is>
      </c>
      <c r="I6" s="2" t="inlineStr">
        <is>
          <t>± SEM</t>
        </is>
      </c>
      <c r="J6" s="2" t="inlineStr">
        <is>
          <t>mean</t>
        </is>
      </c>
      <c r="K6" s="2" t="inlineStr">
        <is>
          <t>± SEM</t>
        </is>
      </c>
    </row>
    <row r="7">
      <c r="A7" s="7" t="n"/>
      <c r="B7" s="8" t="inlineStr">
        <is>
          <t>ABL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3" t="inlineStr">
        <is>
          <t>3UE4</t>
        </is>
      </c>
      <c r="B8" s="3" t="inlineStr">
        <is>
          <t>Bosutinib</t>
        </is>
      </c>
      <c r="C8" s="3" t="inlineStr">
        <is>
          <t>DB8+1</t>
        </is>
      </c>
      <c r="D8" s="10">
        <f>'Per-Trial Conf'!$D52</f>
        <v/>
      </c>
      <c r="E8" s="10">
        <f>IF(H8&gt;0,-$B$3*LN(H8),"")</f>
        <v/>
      </c>
      <c r="F8" s="10">
        <f>IF(E8="","",EXP(-E8/$B$3))</f>
        <v/>
      </c>
      <c r="G8" s="10">
        <f>IF(F8="","",F8/SUM(F$8:F$11))</f>
        <v/>
      </c>
      <c r="H8" s="10">
        <f>AVERAGE('Per-Trial Conf'!$E52:$G52)</f>
        <v/>
      </c>
      <c r="I8" s="10">
        <f>IF(COUNT('Per-Trial Conf'!$E52:$G52)&gt;1,STDEV('Per-Trial Conf'!$E52:$G52)/SQRT(COUNT('Per-Trial Conf'!$E52:$G52)),0)</f>
        <v/>
      </c>
      <c r="J8" s="10">
        <f>AVERAGE('Per-Trial Conf'!$H52:$J52)</f>
        <v/>
      </c>
      <c r="K8" s="10">
        <f>IF(COUNT('Per-Trial Conf'!$H52:$J52)&gt;1,STDEV('Per-Trial Conf'!$H52:$J52)/SQRT(COUNT('Per-Trial Conf'!$H52:$J52)),0)</f>
        <v/>
      </c>
    </row>
    <row r="9">
      <c r="A9" s="3" t="inlineStr">
        <is>
          <t>3UE4</t>
        </is>
      </c>
      <c r="B9" s="3" t="inlineStr">
        <is>
          <t>Bosutinib</t>
        </is>
      </c>
      <c r="C9" s="3" t="inlineStr">
        <is>
          <t>DB8+2</t>
        </is>
      </c>
      <c r="D9" s="10">
        <f>'Per-Trial Conf'!$D53</f>
        <v/>
      </c>
      <c r="E9" s="10">
        <f>IF(H9&gt;0,-$B$3*LN(H9),"")</f>
        <v/>
      </c>
      <c r="F9" s="10">
        <f>IF(E9="","",EXP(-E9/$B$3))</f>
        <v/>
      </c>
      <c r="G9" s="10">
        <f>IF(F9="","",F9/SUM(F$8:F$11))</f>
        <v/>
      </c>
      <c r="H9" s="10">
        <f>AVERAGE('Per-Trial Conf'!$E53:$G53)</f>
        <v/>
      </c>
      <c r="I9" s="10">
        <f>IF(COUNT('Per-Trial Conf'!$E53:$G53)&gt;1,STDEV('Per-Trial Conf'!$E53:$G53)/SQRT(COUNT('Per-Trial Conf'!$E53:$G53)),0)</f>
        <v/>
      </c>
      <c r="J9" s="10">
        <f>AVERAGE('Per-Trial Conf'!$H53:$J53)</f>
        <v/>
      </c>
      <c r="K9" s="10">
        <f>IF(COUNT('Per-Trial Conf'!$H53:$J53)&gt;1,STDEV('Per-Trial Conf'!$H53:$J53)/SQRT(COUNT('Per-Trial Conf'!$H53:$J53)),0)</f>
        <v/>
      </c>
    </row>
    <row r="10">
      <c r="A10" s="3" t="inlineStr">
        <is>
          <t>3UE4</t>
        </is>
      </c>
      <c r="B10" s="3" t="inlineStr">
        <is>
          <t>Bosutinib</t>
        </is>
      </c>
      <c r="C10" s="3" t="inlineStr">
        <is>
          <t>DB801</t>
        </is>
      </c>
      <c r="D10" s="10">
        <f>'Per-Trial Conf'!$D54</f>
        <v/>
      </c>
      <c r="E10" s="10">
        <f>IF(H10&gt;0,-$B$3*LN(H10),"")</f>
        <v/>
      </c>
      <c r="F10" s="10">
        <f>IF(E10="","",EXP(-E10/$B$3))</f>
        <v/>
      </c>
      <c r="G10" s="10">
        <f>IF(F10="","",F10/SUM(F$8:F$11))</f>
        <v/>
      </c>
      <c r="H10" s="10">
        <f>AVERAGE('Per-Trial Conf'!$E54:$G54)</f>
        <v/>
      </c>
      <c r="I10" s="10">
        <f>IF(COUNT('Per-Trial Conf'!$E54:$G54)&gt;1,STDEV('Per-Trial Conf'!$E54:$G54)/SQRT(COUNT('Per-Trial Conf'!$E54:$G54)),0)</f>
        <v/>
      </c>
      <c r="J10" s="10">
        <f>AVERAGE('Per-Trial Conf'!$H54:$J54)</f>
        <v/>
      </c>
      <c r="K10" s="10">
        <f>IF(COUNT('Per-Trial Conf'!$H54:$J54)&gt;1,STDEV('Per-Trial Conf'!$H54:$J54)/SQRT(COUNT('Per-Trial Conf'!$H54:$J54)),0)</f>
        <v/>
      </c>
    </row>
    <row r="11">
      <c r="A11" s="3" t="inlineStr">
        <is>
          <t>3UE4</t>
        </is>
      </c>
      <c r="B11" s="3" t="inlineStr">
        <is>
          <t>Bosutinib</t>
        </is>
      </c>
      <c r="C11" s="3" t="inlineStr">
        <is>
          <t>DB802</t>
        </is>
      </c>
      <c r="D11" s="10">
        <f>'Per-Trial Conf'!$D55</f>
        <v/>
      </c>
      <c r="E11" s="10">
        <f>IF(H11&gt;0,-$B$3*LN(H11),"")</f>
        <v/>
      </c>
      <c r="F11" s="10">
        <f>IF(E11="","",EXP(-E11/$B$3))</f>
        <v/>
      </c>
      <c r="G11" s="10">
        <f>IF(F11="","",F11/SUM(F$8:F$11))</f>
        <v/>
      </c>
      <c r="H11" s="10">
        <f>AVERAGE('Per-Trial Conf'!$E55:$G55)</f>
        <v/>
      </c>
      <c r="I11" s="10">
        <f>IF(COUNT('Per-Trial Conf'!$E55:$G55)&gt;1,STDEV('Per-Trial Conf'!$E55:$G55)/SQRT(COUNT('Per-Trial Conf'!$E55:$G55)),0)</f>
        <v/>
      </c>
      <c r="J11" s="10">
        <f>AVERAGE('Per-Trial Conf'!$H55:$J55)</f>
        <v/>
      </c>
      <c r="K11" s="10">
        <f>IF(COUNT('Per-Trial Conf'!$H55:$J55)&gt;1,STDEV('Per-Trial Conf'!$H55:$J55)/SQRT(COUNT('Per-Trial Conf'!$H55:$J55)),0)</f>
        <v/>
      </c>
    </row>
    <row r="12">
      <c r="A12" s="6" t="n"/>
      <c r="B12" s="6" t="n"/>
      <c r="C12" s="6" t="inlineStr">
        <is>
          <t>SUM</t>
        </is>
      </c>
      <c r="D12" s="12" t="n"/>
      <c r="E12" s="12" t="n"/>
      <c r="F12" s="12">
        <f>SUM(F8:F11)</f>
        <v/>
      </c>
      <c r="G12" s="12">
        <f>SUM(G8:G11)</f>
        <v/>
      </c>
      <c r="H12" s="12">
        <f>SUM(H8:H11)</f>
        <v/>
      </c>
      <c r="I12" s="12" t="n"/>
      <c r="J12" s="12">
        <f>SUM(J8:J11)</f>
        <v/>
      </c>
      <c r="K12" s="12" t="n"/>
    </row>
    <row r="13">
      <c r="A13" s="6" t="n"/>
      <c r="B13" s="6" t="n"/>
      <c r="C13" s="6" t="inlineStr">
        <is>
          <t>ensemble charge</t>
        </is>
      </c>
      <c r="D13" s="12" t="n"/>
      <c r="E13" s="12" t="n"/>
      <c r="F13" s="12" t="n"/>
      <c r="G13" s="12">
        <f>SUMPRODUCT($D8:$D11,G8:G11)</f>
        <v/>
      </c>
      <c r="H13" s="12">
        <f>SUMPRODUCT($D8:$D11,H8:H11)</f>
        <v/>
      </c>
      <c r="I13" s="12" t="n"/>
      <c r="J13" s="12">
        <f>SUMPRODUCT($D8:$D11,J8:J11)</f>
        <v/>
      </c>
      <c r="K13" s="12" t="n"/>
    </row>
    <row r="15">
      <c r="A15" s="3" t="inlineStr">
        <is>
          <t>2HYY</t>
        </is>
      </c>
      <c r="B15" s="3" t="inlineStr">
        <is>
          <t>Imatinib</t>
        </is>
      </c>
      <c r="C15" s="3" t="inlineStr">
        <is>
          <t>STI+1</t>
        </is>
      </c>
      <c r="D15" s="10">
        <f>'Per-Trial Conf'!$D8</f>
        <v/>
      </c>
      <c r="E15" s="10">
        <f>IF(H15&gt;0,-$B$3*LN(H15),"")</f>
        <v/>
      </c>
      <c r="F15" s="10">
        <f>IF(E15="","",EXP(-E15/$B$3))</f>
        <v/>
      </c>
      <c r="G15" s="10">
        <f>IF(F15="","",F15/SUM(F$15:F$19))</f>
        <v/>
      </c>
      <c r="H15" s="10">
        <f>AVERAGE('Per-Trial Conf'!$E8:$G8)</f>
        <v/>
      </c>
      <c r="I15" s="10">
        <f>IF(COUNT('Per-Trial Conf'!$E8:$G8)&gt;1,STDEV('Per-Trial Conf'!$E8:$G8)/SQRT(COUNT('Per-Trial Conf'!$E8:$G8)),0)</f>
        <v/>
      </c>
      <c r="J15" s="10">
        <f>AVERAGE('Per-Trial Conf'!$H8:$J8)</f>
        <v/>
      </c>
      <c r="K15" s="10">
        <f>IF(COUNT('Per-Trial Conf'!$H8:$J8)&gt;1,STDEV('Per-Trial Conf'!$H8:$J8)/SQRT(COUNT('Per-Trial Conf'!$H8:$J8)),0)</f>
        <v/>
      </c>
    </row>
    <row r="16">
      <c r="A16" s="3" t="inlineStr">
        <is>
          <t>2HYY</t>
        </is>
      </c>
      <c r="B16" s="3" t="inlineStr">
        <is>
          <t>Imatinib</t>
        </is>
      </c>
      <c r="C16" s="3" t="inlineStr">
        <is>
          <t>STI+2</t>
        </is>
      </c>
      <c r="D16" s="10">
        <f>'Per-Trial Conf'!$D9</f>
        <v/>
      </c>
      <c r="E16" s="10">
        <f>IF(H16&gt;0,-$B$3*LN(H16),"")</f>
        <v/>
      </c>
      <c r="F16" s="10">
        <f>IF(E16="","",EXP(-E16/$B$3))</f>
        <v/>
      </c>
      <c r="G16" s="10">
        <f>IF(F16="","",F16/SUM(F$15:F$19))</f>
        <v/>
      </c>
      <c r="H16" s="10">
        <f>AVERAGE('Per-Trial Conf'!$E9:$G9)</f>
        <v/>
      </c>
      <c r="I16" s="10">
        <f>IF(COUNT('Per-Trial Conf'!$E9:$G9)&gt;1,STDEV('Per-Trial Conf'!$E9:$G9)/SQRT(COUNT('Per-Trial Conf'!$E9:$G9)),0)</f>
        <v/>
      </c>
      <c r="J16" s="10">
        <f>AVERAGE('Per-Trial Conf'!$H9:$J9)</f>
        <v/>
      </c>
      <c r="K16" s="10">
        <f>IF(COUNT('Per-Trial Conf'!$H9:$J9)&gt;1,STDEV('Per-Trial Conf'!$H9:$J9)/SQRT(COUNT('Per-Trial Conf'!$H9:$J9)),0)</f>
        <v/>
      </c>
    </row>
    <row r="17">
      <c r="A17" s="3" t="inlineStr">
        <is>
          <t>2HYY</t>
        </is>
      </c>
      <c r="B17" s="3" t="inlineStr">
        <is>
          <t>Imatinib</t>
        </is>
      </c>
      <c r="C17" s="3" t="inlineStr">
        <is>
          <t>STI+a</t>
        </is>
      </c>
      <c r="D17" s="10">
        <f>'Per-Trial Conf'!$D10</f>
        <v/>
      </c>
      <c r="E17" s="10">
        <f>IF(H17&gt;0,-$B$3*LN(H17),"")</f>
        <v/>
      </c>
      <c r="F17" s="10">
        <f>IF(E17="","",EXP(-E17/$B$3))</f>
        <v/>
      </c>
      <c r="G17" s="10">
        <f>IF(F17="","",F17/SUM(F$15:F$19))</f>
        <v/>
      </c>
      <c r="H17" s="10">
        <f>AVERAGE('Per-Trial Conf'!$E10:$G10)</f>
        <v/>
      </c>
      <c r="I17" s="10">
        <f>IF(COUNT('Per-Trial Conf'!$E10:$G10)&gt;1,STDEV('Per-Trial Conf'!$E10:$G10)/SQRT(COUNT('Per-Trial Conf'!$E10:$G10)),0)</f>
        <v/>
      </c>
      <c r="J17" s="10">
        <f>AVERAGE('Per-Trial Conf'!$H10:$J10)</f>
        <v/>
      </c>
      <c r="K17" s="10">
        <f>IF(COUNT('Per-Trial Conf'!$H10:$J10)&gt;1,STDEV('Per-Trial Conf'!$H10:$J10)/SQRT(COUNT('Per-Trial Conf'!$H10:$J10)),0)</f>
        <v/>
      </c>
    </row>
    <row r="18">
      <c r="A18" s="3" t="inlineStr">
        <is>
          <t>2HYY</t>
        </is>
      </c>
      <c r="B18" s="3" t="inlineStr">
        <is>
          <t>Imatinib</t>
        </is>
      </c>
      <c r="C18" s="3" t="inlineStr">
        <is>
          <t>STI+b</t>
        </is>
      </c>
      <c r="D18" s="10">
        <f>'Per-Trial Conf'!$D11</f>
        <v/>
      </c>
      <c r="E18" s="10">
        <f>IF(H18&gt;0,-$B$3*LN(H18),"")</f>
        <v/>
      </c>
      <c r="F18" s="10">
        <f>IF(E18="","",EXP(-E18/$B$3))</f>
        <v/>
      </c>
      <c r="G18" s="10">
        <f>IF(F18="","",F18/SUM(F$15:F$19))</f>
        <v/>
      </c>
      <c r="H18" s="10">
        <f>AVERAGE('Per-Trial Conf'!$E11:$G11)</f>
        <v/>
      </c>
      <c r="I18" s="10">
        <f>IF(COUNT('Per-Trial Conf'!$E11:$G11)&gt;1,STDEV('Per-Trial Conf'!$E11:$G11)/SQRT(COUNT('Per-Trial Conf'!$E11:$G11)),0)</f>
        <v/>
      </c>
      <c r="J18" s="10">
        <f>AVERAGE('Per-Trial Conf'!$H11:$J11)</f>
        <v/>
      </c>
      <c r="K18" s="10">
        <f>IF(COUNT('Per-Trial Conf'!$H11:$J11)&gt;1,STDEV('Per-Trial Conf'!$H11:$J11)/SQRT(COUNT('Per-Trial Conf'!$H11:$J11)),0)</f>
        <v/>
      </c>
    </row>
    <row r="19">
      <c r="A19" s="3" t="inlineStr">
        <is>
          <t>2HYY</t>
        </is>
      </c>
      <c r="B19" s="3" t="inlineStr">
        <is>
          <t>Imatinib</t>
        </is>
      </c>
      <c r="C19" s="3" t="inlineStr">
        <is>
          <t>STI01</t>
        </is>
      </c>
      <c r="D19" s="10">
        <f>'Per-Trial Conf'!$D12</f>
        <v/>
      </c>
      <c r="E19" s="10">
        <f>IF(H19&gt;0,-$B$3*LN(H19),"")</f>
        <v/>
      </c>
      <c r="F19" s="10">
        <f>IF(E19="","",EXP(-E19/$B$3))</f>
        <v/>
      </c>
      <c r="G19" s="10">
        <f>IF(F19="","",F19/SUM(F$15:F$19))</f>
        <v/>
      </c>
      <c r="H19" s="10">
        <f>AVERAGE('Per-Trial Conf'!$E12:$G12)</f>
        <v/>
      </c>
      <c r="I19" s="10">
        <f>IF(COUNT('Per-Trial Conf'!$E12:$G12)&gt;1,STDEV('Per-Trial Conf'!$E12:$G12)/SQRT(COUNT('Per-Trial Conf'!$E12:$G12)),0)</f>
        <v/>
      </c>
      <c r="J19" s="10">
        <f>AVERAGE('Per-Trial Conf'!$H12:$J12)</f>
        <v/>
      </c>
      <c r="K19" s="10">
        <f>IF(COUNT('Per-Trial Conf'!$H12:$J12)&gt;1,STDEV('Per-Trial Conf'!$H12:$J12)/SQRT(COUNT('Per-Trial Conf'!$H12:$J12)),0)</f>
        <v/>
      </c>
    </row>
    <row r="20">
      <c r="A20" s="6" t="n"/>
      <c r="B20" s="6" t="n"/>
      <c r="C20" s="6" t="inlineStr">
        <is>
          <t>SUM</t>
        </is>
      </c>
      <c r="D20" s="12" t="n"/>
      <c r="E20" s="12" t="n"/>
      <c r="F20" s="12">
        <f>SUM(F15:F19)</f>
        <v/>
      </c>
      <c r="G20" s="12">
        <f>SUM(G15:G19)</f>
        <v/>
      </c>
      <c r="H20" s="12">
        <f>SUM(H15:H19)</f>
        <v/>
      </c>
      <c r="I20" s="12" t="n"/>
      <c r="J20" s="12">
        <f>SUM(J15:J19)</f>
        <v/>
      </c>
      <c r="K20" s="12" t="n"/>
    </row>
    <row r="21">
      <c r="A21" s="6" t="n"/>
      <c r="B21" s="6" t="n"/>
      <c r="C21" s="6" t="inlineStr">
        <is>
          <t>ensemble charge</t>
        </is>
      </c>
      <c r="D21" s="12" t="n"/>
      <c r="E21" s="12" t="n"/>
      <c r="F21" s="12" t="n"/>
      <c r="G21" s="12">
        <f>SUMPRODUCT($D15:$D19,G15:G19)</f>
        <v/>
      </c>
      <c r="H21" s="12">
        <f>SUMPRODUCT($D15:$D19,H15:H19)</f>
        <v/>
      </c>
      <c r="I21" s="12" t="n"/>
      <c r="J21" s="12">
        <f>SUMPRODUCT($D15:$D19,J15:J19)</f>
        <v/>
      </c>
      <c r="K21" s="12" t="n"/>
    </row>
    <row r="23">
      <c r="A23" s="3" t="inlineStr">
        <is>
          <t>3PYY</t>
        </is>
      </c>
      <c r="B23" s="3" t="inlineStr">
        <is>
          <t>Imatinib</t>
        </is>
      </c>
      <c r="C23" s="3" t="inlineStr">
        <is>
          <t>STI+1</t>
        </is>
      </c>
      <c r="D23" s="10">
        <f>'Per-Trial Conf'!$D47</f>
        <v/>
      </c>
      <c r="E23" s="10">
        <f>IF(H23&gt;0,-$B$3*LN(H23),"")</f>
        <v/>
      </c>
      <c r="F23" s="10">
        <f>IF(E23="","",EXP(-E23/$B$3))</f>
        <v/>
      </c>
      <c r="G23" s="10">
        <f>IF(F23="","",F23/SUM(F$23:F$27))</f>
        <v/>
      </c>
      <c r="H23" s="10">
        <f>AVERAGE('Per-Trial Conf'!$E47:$G47)</f>
        <v/>
      </c>
      <c r="I23" s="10">
        <f>IF(COUNT('Per-Trial Conf'!$E47:$G47)&gt;1,STDEV('Per-Trial Conf'!$E47:$G47)/SQRT(COUNT('Per-Trial Conf'!$E47:$G47)),0)</f>
        <v/>
      </c>
      <c r="J23" s="10">
        <f>AVERAGE('Per-Trial Conf'!$H47:$J47)</f>
        <v/>
      </c>
      <c r="K23" s="10">
        <f>IF(COUNT('Per-Trial Conf'!$H47:$J47)&gt;1,STDEV('Per-Trial Conf'!$H47:$J47)/SQRT(COUNT('Per-Trial Conf'!$H47:$J47)),0)</f>
        <v/>
      </c>
    </row>
    <row r="24">
      <c r="A24" s="3" t="inlineStr">
        <is>
          <t>3PYY</t>
        </is>
      </c>
      <c r="B24" s="3" t="inlineStr">
        <is>
          <t>Imatinib</t>
        </is>
      </c>
      <c r="C24" s="3" t="inlineStr">
        <is>
          <t>STI+2</t>
        </is>
      </c>
      <c r="D24" s="10">
        <f>'Per-Trial Conf'!$D48</f>
        <v/>
      </c>
      <c r="E24" s="10">
        <f>IF(H24&gt;0,-$B$3*LN(H24),"")</f>
        <v/>
      </c>
      <c r="F24" s="10">
        <f>IF(E24="","",EXP(-E24/$B$3))</f>
        <v/>
      </c>
      <c r="G24" s="10">
        <f>IF(F24="","",F24/SUM(F$23:F$27))</f>
        <v/>
      </c>
      <c r="H24" s="10">
        <f>AVERAGE('Per-Trial Conf'!$E48:$G48)</f>
        <v/>
      </c>
      <c r="I24" s="10">
        <f>IF(COUNT('Per-Trial Conf'!$E48:$G48)&gt;1,STDEV('Per-Trial Conf'!$E48:$G48)/SQRT(COUNT('Per-Trial Conf'!$E48:$G48)),0)</f>
        <v/>
      </c>
      <c r="J24" s="10">
        <f>AVERAGE('Per-Trial Conf'!$H48:$J48)</f>
        <v/>
      </c>
      <c r="K24" s="10">
        <f>IF(COUNT('Per-Trial Conf'!$H48:$J48)&gt;1,STDEV('Per-Trial Conf'!$H48:$J48)/SQRT(COUNT('Per-Trial Conf'!$H48:$J48)),0)</f>
        <v/>
      </c>
    </row>
    <row r="25">
      <c r="A25" s="3" t="inlineStr">
        <is>
          <t>3PYY</t>
        </is>
      </c>
      <c r="B25" s="3" t="inlineStr">
        <is>
          <t>Imatinib</t>
        </is>
      </c>
      <c r="C25" s="3" t="inlineStr">
        <is>
          <t>STI+a</t>
        </is>
      </c>
      <c r="D25" s="10">
        <f>'Per-Trial Conf'!$D49</f>
        <v/>
      </c>
      <c r="E25" s="10">
        <f>IF(H25&gt;0,-$B$3*LN(H25),"")</f>
        <v/>
      </c>
      <c r="F25" s="10">
        <f>IF(E25="","",EXP(-E25/$B$3))</f>
        <v/>
      </c>
      <c r="G25" s="10">
        <f>IF(F25="","",F25/SUM(F$23:F$27))</f>
        <v/>
      </c>
      <c r="H25" s="10">
        <f>AVERAGE('Per-Trial Conf'!$E49:$G49)</f>
        <v/>
      </c>
      <c r="I25" s="10">
        <f>IF(COUNT('Per-Trial Conf'!$E49:$G49)&gt;1,STDEV('Per-Trial Conf'!$E49:$G49)/SQRT(COUNT('Per-Trial Conf'!$E49:$G49)),0)</f>
        <v/>
      </c>
      <c r="J25" s="10">
        <f>AVERAGE('Per-Trial Conf'!$H49:$J49)</f>
        <v/>
      </c>
      <c r="K25" s="10">
        <f>IF(COUNT('Per-Trial Conf'!$H49:$J49)&gt;1,STDEV('Per-Trial Conf'!$H49:$J49)/SQRT(COUNT('Per-Trial Conf'!$H49:$J49)),0)</f>
        <v/>
      </c>
    </row>
    <row r="26">
      <c r="A26" s="3" t="inlineStr">
        <is>
          <t>3PYY</t>
        </is>
      </c>
      <c r="B26" s="3" t="inlineStr">
        <is>
          <t>Imatinib</t>
        </is>
      </c>
      <c r="C26" s="3" t="inlineStr">
        <is>
          <t>STI+b</t>
        </is>
      </c>
      <c r="D26" s="10">
        <f>'Per-Trial Conf'!$D50</f>
        <v/>
      </c>
      <c r="E26" s="10">
        <f>IF(H26&gt;0,-$B$3*LN(H26),"")</f>
        <v/>
      </c>
      <c r="F26" s="10">
        <f>IF(E26="","",EXP(-E26/$B$3))</f>
        <v/>
      </c>
      <c r="G26" s="10">
        <f>IF(F26="","",F26/SUM(F$23:F$27))</f>
        <v/>
      </c>
      <c r="H26" s="10">
        <f>AVERAGE('Per-Trial Conf'!$E50:$G50)</f>
        <v/>
      </c>
      <c r="I26" s="10">
        <f>IF(COUNT('Per-Trial Conf'!$E50:$G50)&gt;1,STDEV('Per-Trial Conf'!$E50:$G50)/SQRT(COUNT('Per-Trial Conf'!$E50:$G50)),0)</f>
        <v/>
      </c>
      <c r="J26" s="10">
        <f>AVERAGE('Per-Trial Conf'!$H50:$J50)</f>
        <v/>
      </c>
      <c r="K26" s="10">
        <f>IF(COUNT('Per-Trial Conf'!$H50:$J50)&gt;1,STDEV('Per-Trial Conf'!$H50:$J50)/SQRT(COUNT('Per-Trial Conf'!$H50:$J50)),0)</f>
        <v/>
      </c>
    </row>
    <row r="27">
      <c r="A27" s="3" t="inlineStr">
        <is>
          <t>3PYY</t>
        </is>
      </c>
      <c r="B27" s="3" t="inlineStr">
        <is>
          <t>Imatinib</t>
        </is>
      </c>
      <c r="C27" s="3" t="inlineStr">
        <is>
          <t>STI01</t>
        </is>
      </c>
      <c r="D27" s="10">
        <f>'Per-Trial Conf'!$D51</f>
        <v/>
      </c>
      <c r="E27" s="10">
        <f>IF(H27&gt;0,-$B$3*LN(H27),"")</f>
        <v/>
      </c>
      <c r="F27" s="10">
        <f>IF(E27="","",EXP(-E27/$B$3))</f>
        <v/>
      </c>
      <c r="G27" s="10">
        <f>IF(F27="","",F27/SUM(F$23:F$27))</f>
        <v/>
      </c>
      <c r="H27" s="10">
        <f>AVERAGE('Per-Trial Conf'!$E51:$G51)</f>
        <v/>
      </c>
      <c r="I27" s="10">
        <f>IF(COUNT('Per-Trial Conf'!$E51:$G51)&gt;1,STDEV('Per-Trial Conf'!$E51:$G51)/SQRT(COUNT('Per-Trial Conf'!$E51:$G51)),0)</f>
        <v/>
      </c>
      <c r="J27" s="10">
        <f>AVERAGE('Per-Trial Conf'!$H51:$J51)</f>
        <v/>
      </c>
      <c r="K27" s="10">
        <f>IF(COUNT('Per-Trial Conf'!$H51:$J51)&gt;1,STDEV('Per-Trial Conf'!$H51:$J51)/SQRT(COUNT('Per-Trial Conf'!$H51:$J51)),0)</f>
        <v/>
      </c>
    </row>
    <row r="28">
      <c r="A28" s="6" t="n"/>
      <c r="B28" s="6" t="n"/>
      <c r="C28" s="6" t="inlineStr">
        <is>
          <t>SUM</t>
        </is>
      </c>
      <c r="D28" s="12" t="n"/>
      <c r="E28" s="12" t="n"/>
      <c r="F28" s="12">
        <f>SUM(F23:F27)</f>
        <v/>
      </c>
      <c r="G28" s="12">
        <f>SUM(G23:G27)</f>
        <v/>
      </c>
      <c r="H28" s="12">
        <f>SUM(H23:H27)</f>
        <v/>
      </c>
      <c r="I28" s="12" t="n"/>
      <c r="J28" s="12">
        <f>SUM(J23:J27)</f>
        <v/>
      </c>
      <c r="K28" s="12" t="n"/>
    </row>
    <row r="29">
      <c r="A29" s="6" t="n"/>
      <c r="B29" s="6" t="n"/>
      <c r="C29" s="6" t="inlineStr">
        <is>
          <t>ensemble charge</t>
        </is>
      </c>
      <c r="D29" s="12" t="n"/>
      <c r="E29" s="12" t="n"/>
      <c r="F29" s="12" t="n"/>
      <c r="G29" s="12">
        <f>SUMPRODUCT($D23:$D27,G23:G27)</f>
        <v/>
      </c>
      <c r="H29" s="12">
        <f>SUMPRODUCT($D23:$D27,H23:H27)</f>
        <v/>
      </c>
      <c r="I29" s="12" t="n"/>
      <c r="J29" s="12">
        <f>SUMPRODUCT($D23:$D27,J23:J27)</f>
        <v/>
      </c>
      <c r="K29" s="12" t="n"/>
    </row>
    <row r="31">
      <c r="A31" s="3" t="inlineStr">
        <is>
          <t>3CS9</t>
        </is>
      </c>
      <c r="B31" s="3" t="inlineStr">
        <is>
          <t>Nilotinib</t>
        </is>
      </c>
      <c r="C31" s="3" t="inlineStr">
        <is>
          <t>NIL+1</t>
        </is>
      </c>
      <c r="D31" s="10">
        <f>'Per-Trial Conf'!$D42</f>
        <v/>
      </c>
      <c r="E31" s="10">
        <f>IF(H31&gt;0,-$B$3*LN(H31),"")</f>
        <v/>
      </c>
      <c r="F31" s="10">
        <f>IF(E31="","",EXP(-E31/$B$3))</f>
        <v/>
      </c>
      <c r="G31" s="10">
        <f>IF(F31="","",F31/SUM(F$31:F$33))</f>
        <v/>
      </c>
      <c r="H31" s="10">
        <f>AVERAGE('Per-Trial Conf'!$E42:$G42)</f>
        <v/>
      </c>
      <c r="I31" s="10">
        <f>IF(COUNT('Per-Trial Conf'!$E42:$G42)&gt;1,STDEV('Per-Trial Conf'!$E42:$G42)/SQRT(COUNT('Per-Trial Conf'!$E42:$G42)),0)</f>
        <v/>
      </c>
      <c r="J31" s="10">
        <f>AVERAGE('Per-Trial Conf'!$H42:$J42)</f>
        <v/>
      </c>
      <c r="K31" s="10">
        <f>IF(COUNT('Per-Trial Conf'!$H42:$J42)&gt;1,STDEV('Per-Trial Conf'!$H42:$J42)/SQRT(COUNT('Per-Trial Conf'!$H42:$J42)),0)</f>
        <v/>
      </c>
    </row>
    <row r="32">
      <c r="A32" s="3" t="inlineStr">
        <is>
          <t>3CS9</t>
        </is>
      </c>
      <c r="B32" s="3" t="inlineStr">
        <is>
          <t>Nilotinib</t>
        </is>
      </c>
      <c r="C32" s="3" t="inlineStr">
        <is>
          <t>NIL+2</t>
        </is>
      </c>
      <c r="D32" s="10">
        <f>'Per-Trial Conf'!$D43</f>
        <v/>
      </c>
      <c r="E32" s="10">
        <f>IF(H32&gt;0,-$B$3*LN(H32),"")</f>
        <v/>
      </c>
      <c r="F32" s="10">
        <f>IF(E32="","",EXP(-E32/$B$3))</f>
        <v/>
      </c>
      <c r="G32" s="10">
        <f>IF(F32="","",F32/SUM(F$31:F$33))</f>
        <v/>
      </c>
      <c r="H32" s="10">
        <f>AVERAGE('Per-Trial Conf'!$E43:$G43)</f>
        <v/>
      </c>
      <c r="I32" s="10">
        <f>IF(COUNT('Per-Trial Conf'!$E43:$G43)&gt;1,STDEV('Per-Trial Conf'!$E43:$G43)/SQRT(COUNT('Per-Trial Conf'!$E43:$G43)),0)</f>
        <v/>
      </c>
      <c r="J32" s="10">
        <f>AVERAGE('Per-Trial Conf'!$H43:$J43)</f>
        <v/>
      </c>
      <c r="K32" s="10">
        <f>IF(COUNT('Per-Trial Conf'!$H43:$J43)&gt;1,STDEV('Per-Trial Conf'!$H43:$J43)/SQRT(COUNT('Per-Trial Conf'!$H43:$J43)),0)</f>
        <v/>
      </c>
    </row>
    <row r="33">
      <c r="A33" s="3" t="inlineStr">
        <is>
          <t>3CS9</t>
        </is>
      </c>
      <c r="B33" s="3" t="inlineStr">
        <is>
          <t>Nilotinib</t>
        </is>
      </c>
      <c r="C33" s="3" t="inlineStr">
        <is>
          <t>NIL01</t>
        </is>
      </c>
      <c r="D33" s="10">
        <f>'Per-Trial Conf'!$D44</f>
        <v/>
      </c>
      <c r="E33" s="10">
        <f>IF(H33&gt;0,-$B$3*LN(H33),"")</f>
        <v/>
      </c>
      <c r="F33" s="10">
        <f>IF(E33="","",EXP(-E33/$B$3))</f>
        <v/>
      </c>
      <c r="G33" s="10">
        <f>IF(F33="","",F33/SUM(F$31:F$33))</f>
        <v/>
      </c>
      <c r="H33" s="10">
        <f>AVERAGE('Per-Trial Conf'!$E44:$G44)</f>
        <v/>
      </c>
      <c r="I33" s="10">
        <f>IF(COUNT('Per-Trial Conf'!$E44:$G44)&gt;1,STDEV('Per-Trial Conf'!$E44:$G44)/SQRT(COUNT('Per-Trial Conf'!$E44:$G44)),0)</f>
        <v/>
      </c>
      <c r="J33" s="10">
        <f>AVERAGE('Per-Trial Conf'!$H44:$J44)</f>
        <v/>
      </c>
      <c r="K33" s="10">
        <f>IF(COUNT('Per-Trial Conf'!$H44:$J44)&gt;1,STDEV('Per-Trial Conf'!$H44:$J44)/SQRT(COUNT('Per-Trial Conf'!$H44:$J44)),0)</f>
        <v/>
      </c>
    </row>
    <row r="34">
      <c r="A34" s="6" t="n"/>
      <c r="B34" s="6" t="n"/>
      <c r="C34" s="6" t="inlineStr">
        <is>
          <t>SUM</t>
        </is>
      </c>
      <c r="D34" s="12" t="n"/>
      <c r="E34" s="12" t="n"/>
      <c r="F34" s="12">
        <f>SUM(F31:F33)</f>
        <v/>
      </c>
      <c r="G34" s="12">
        <f>SUM(G31:G33)</f>
        <v/>
      </c>
      <c r="H34" s="12">
        <f>SUM(H31:H33)</f>
        <v/>
      </c>
      <c r="I34" s="12" t="n"/>
      <c r="J34" s="12">
        <f>SUM(J31:J33)</f>
        <v/>
      </c>
      <c r="K34" s="12" t="n"/>
    </row>
    <row r="35">
      <c r="A35" s="6" t="n"/>
      <c r="B35" s="6" t="n"/>
      <c r="C35" s="6" t="inlineStr">
        <is>
          <t>ensemble charge</t>
        </is>
      </c>
      <c r="D35" s="12" t="n"/>
      <c r="E35" s="12" t="n"/>
      <c r="F35" s="12" t="n"/>
      <c r="G35" s="12">
        <f>SUMPRODUCT($D31:$D33,G31:G33)</f>
        <v/>
      </c>
      <c r="H35" s="12">
        <f>SUMPRODUCT($D31:$D33,H31:H33)</f>
        <v/>
      </c>
      <c r="I35" s="12" t="n"/>
      <c r="J35" s="12">
        <f>SUMPRODUCT($D31:$D33,J31:J33)</f>
        <v/>
      </c>
      <c r="K35" s="12" t="n"/>
    </row>
    <row r="37">
      <c r="A37" s="3" t="inlineStr">
        <is>
          <t>5MO4</t>
        </is>
      </c>
      <c r="B37" s="3" t="inlineStr">
        <is>
          <t>Nilotinib</t>
        </is>
      </c>
      <c r="C37" s="3" t="inlineStr">
        <is>
          <t>NIL+1</t>
        </is>
      </c>
      <c r="D37" s="10">
        <f>'Per-Trial Conf'!$D139</f>
        <v/>
      </c>
      <c r="E37" s="10">
        <f>IF(H37&gt;0,-$B$3*LN(H37),"")</f>
        <v/>
      </c>
      <c r="F37" s="10">
        <f>IF(E37="","",EXP(-E37/$B$3))</f>
        <v/>
      </c>
      <c r="G37" s="10">
        <f>IF(F37="","",F37/SUM(F$37:F$39))</f>
        <v/>
      </c>
      <c r="H37" s="10">
        <f>AVERAGE('Per-Trial Conf'!$E139:$G139)</f>
        <v/>
      </c>
      <c r="I37" s="10">
        <f>IF(COUNT('Per-Trial Conf'!$E139:$G139)&gt;1,STDEV('Per-Trial Conf'!$E139:$G139)/SQRT(COUNT('Per-Trial Conf'!$E139:$G139)),0)</f>
        <v/>
      </c>
      <c r="J37" s="10">
        <f>AVERAGE('Per-Trial Conf'!$H139:$J139)</f>
        <v/>
      </c>
      <c r="K37" s="10">
        <f>IF(COUNT('Per-Trial Conf'!$H139:$J139)&gt;1,STDEV('Per-Trial Conf'!$H139:$J139)/SQRT(COUNT('Per-Trial Conf'!$H139:$J139)),0)</f>
        <v/>
      </c>
    </row>
    <row r="38">
      <c r="A38" s="3" t="inlineStr">
        <is>
          <t>5MO4</t>
        </is>
      </c>
      <c r="B38" s="3" t="inlineStr">
        <is>
          <t>Nilotinib</t>
        </is>
      </c>
      <c r="C38" s="3" t="inlineStr">
        <is>
          <t>NIL+2</t>
        </is>
      </c>
      <c r="D38" s="10">
        <f>'Per-Trial Conf'!$D140</f>
        <v/>
      </c>
      <c r="E38" s="10">
        <f>IF(H38&gt;0,-$B$3*LN(H38),"")</f>
        <v/>
      </c>
      <c r="F38" s="10">
        <f>IF(E38="","",EXP(-E38/$B$3))</f>
        <v/>
      </c>
      <c r="G38" s="10">
        <f>IF(F38="","",F38/SUM(F$37:F$39))</f>
        <v/>
      </c>
      <c r="H38" s="10">
        <f>AVERAGE('Per-Trial Conf'!$E140:$G140)</f>
        <v/>
      </c>
      <c r="I38" s="10">
        <f>IF(COUNT('Per-Trial Conf'!$E140:$G140)&gt;1,STDEV('Per-Trial Conf'!$E140:$G140)/SQRT(COUNT('Per-Trial Conf'!$E140:$G140)),0)</f>
        <v/>
      </c>
      <c r="J38" s="10">
        <f>AVERAGE('Per-Trial Conf'!$H140:$J140)</f>
        <v/>
      </c>
      <c r="K38" s="10">
        <f>IF(COUNT('Per-Trial Conf'!$H140:$J140)&gt;1,STDEV('Per-Trial Conf'!$H140:$J140)/SQRT(COUNT('Per-Trial Conf'!$H140:$J140)),0)</f>
        <v/>
      </c>
    </row>
    <row r="39">
      <c r="A39" s="3" t="inlineStr">
        <is>
          <t>5MO4</t>
        </is>
      </c>
      <c r="B39" s="3" t="inlineStr">
        <is>
          <t>Nilotinib</t>
        </is>
      </c>
      <c r="C39" s="3" t="inlineStr">
        <is>
          <t>NIL01</t>
        </is>
      </c>
      <c r="D39" s="10">
        <f>'Per-Trial Conf'!$D141</f>
        <v/>
      </c>
      <c r="E39" s="10">
        <f>IF(H39&gt;0,-$B$3*LN(H39),"")</f>
        <v/>
      </c>
      <c r="F39" s="10">
        <f>IF(E39="","",EXP(-E39/$B$3))</f>
        <v/>
      </c>
      <c r="G39" s="10">
        <f>IF(F39="","",F39/SUM(F$37:F$39))</f>
        <v/>
      </c>
      <c r="H39" s="10">
        <f>AVERAGE('Per-Trial Conf'!$E141:$G141)</f>
        <v/>
      </c>
      <c r="I39" s="10">
        <f>IF(COUNT('Per-Trial Conf'!$E141:$G141)&gt;1,STDEV('Per-Trial Conf'!$E141:$G141)/SQRT(COUNT('Per-Trial Conf'!$E141:$G141)),0)</f>
        <v/>
      </c>
      <c r="J39" s="10">
        <f>AVERAGE('Per-Trial Conf'!$H141:$J141)</f>
        <v/>
      </c>
      <c r="K39" s="10">
        <f>IF(COUNT('Per-Trial Conf'!$H141:$J141)&gt;1,STDEV('Per-Trial Conf'!$H141:$J141)/SQRT(COUNT('Per-Trial Conf'!$H141:$J141)),0)</f>
        <v/>
      </c>
    </row>
    <row r="40">
      <c r="A40" s="6" t="n"/>
      <c r="B40" s="6" t="n"/>
      <c r="C40" s="6" t="inlineStr">
        <is>
          <t>SUM</t>
        </is>
      </c>
      <c r="D40" s="12" t="n"/>
      <c r="E40" s="12" t="n"/>
      <c r="F40" s="12">
        <f>SUM(F37:F39)</f>
        <v/>
      </c>
      <c r="G40" s="12">
        <f>SUM(G37:G39)</f>
        <v/>
      </c>
      <c r="H40" s="12">
        <f>SUM(H37:H39)</f>
        <v/>
      </c>
      <c r="I40" s="12" t="n"/>
      <c r="J40" s="12">
        <f>SUM(J37:J39)</f>
        <v/>
      </c>
      <c r="K40" s="12" t="n"/>
    </row>
    <row r="41">
      <c r="A41" s="6" t="n"/>
      <c r="B41" s="6" t="n"/>
      <c r="C41" s="6" t="inlineStr">
        <is>
          <t>ensemble charge</t>
        </is>
      </c>
      <c r="D41" s="12" t="n"/>
      <c r="E41" s="12" t="n"/>
      <c r="F41" s="12" t="n"/>
      <c r="G41" s="12">
        <f>SUMPRODUCT($D37:$D39,G37:G39)</f>
        <v/>
      </c>
      <c r="H41" s="12">
        <f>SUMPRODUCT($D37:$D39,H37:H39)</f>
        <v/>
      </c>
      <c r="I41" s="12" t="n"/>
      <c r="J41" s="12">
        <f>SUMPRODUCT($D37:$D39,J37:J39)</f>
        <v/>
      </c>
      <c r="K41" s="12" t="n"/>
    </row>
    <row r="43">
      <c r="A43" s="7" t="n"/>
      <c r="B43" s="8" t="inlineStr">
        <is>
          <t>ALK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3" t="inlineStr">
        <is>
          <t>3AOX</t>
        </is>
      </c>
      <c r="B44" s="3" t="inlineStr">
        <is>
          <t>Alectinib</t>
        </is>
      </c>
      <c r="C44" s="3" t="inlineStr">
        <is>
          <t>EMH+1</t>
        </is>
      </c>
      <c r="D44" s="10">
        <f>'Per-Trial Conf'!$D40</f>
        <v/>
      </c>
      <c r="E44" s="10">
        <f>IF(H44&gt;0,-$B$3*LN(H44),"")</f>
        <v/>
      </c>
      <c r="F44" s="10">
        <f>IF(E44="","",EXP(-E44/$B$3))</f>
        <v/>
      </c>
      <c r="G44" s="10">
        <f>IF(F44="","",F44/SUM(F$44:F$45))</f>
        <v/>
      </c>
      <c r="H44" s="10">
        <f>AVERAGE('Per-Trial Conf'!$E40:$G40)</f>
        <v/>
      </c>
      <c r="I44" s="10">
        <f>IF(COUNT('Per-Trial Conf'!$E40:$G40)&gt;1,STDEV('Per-Trial Conf'!$E40:$G40)/SQRT(COUNT('Per-Trial Conf'!$E40:$G40)),0)</f>
        <v/>
      </c>
      <c r="J44" s="10">
        <f>AVERAGE('Per-Trial Conf'!$H40:$J40)</f>
        <v/>
      </c>
      <c r="K44" s="10">
        <f>IF(COUNT('Per-Trial Conf'!$H40:$J40)&gt;1,STDEV('Per-Trial Conf'!$H40:$J40)/SQRT(COUNT('Per-Trial Conf'!$H40:$J40)),0)</f>
        <v/>
      </c>
    </row>
    <row r="45">
      <c r="A45" s="3" t="inlineStr">
        <is>
          <t>3AOX</t>
        </is>
      </c>
      <c r="B45" s="3" t="inlineStr">
        <is>
          <t>Alectinib</t>
        </is>
      </c>
      <c r="C45" s="3" t="inlineStr">
        <is>
          <t>EMH01</t>
        </is>
      </c>
      <c r="D45" s="10">
        <f>'Per-Trial Conf'!$D41</f>
        <v/>
      </c>
      <c r="E45" s="10">
        <f>IF(H45&gt;0,-$B$3*LN(H45),"")</f>
        <v/>
      </c>
      <c r="F45" s="10">
        <f>IF(E45="","",EXP(-E45/$B$3))</f>
        <v/>
      </c>
      <c r="G45" s="10">
        <f>IF(F45="","",F45/SUM(F$44:F$45))</f>
        <v/>
      </c>
      <c r="H45" s="10">
        <f>AVERAGE('Per-Trial Conf'!$E41:$G41)</f>
        <v/>
      </c>
      <c r="I45" s="10">
        <f>IF(COUNT('Per-Trial Conf'!$E41:$G41)&gt;1,STDEV('Per-Trial Conf'!$E41:$G41)/SQRT(COUNT('Per-Trial Conf'!$E41:$G41)),0)</f>
        <v/>
      </c>
      <c r="J45" s="10">
        <f>AVERAGE('Per-Trial Conf'!$H41:$J41)</f>
        <v/>
      </c>
      <c r="K45" s="10">
        <f>IF(COUNT('Per-Trial Conf'!$H41:$J41)&gt;1,STDEV('Per-Trial Conf'!$H41:$J41)/SQRT(COUNT('Per-Trial Conf'!$H41:$J41)),0)</f>
        <v/>
      </c>
    </row>
    <row r="46">
      <c r="A46" s="6" t="n"/>
      <c r="B46" s="6" t="n"/>
      <c r="C46" s="6" t="inlineStr">
        <is>
          <t>SUM</t>
        </is>
      </c>
      <c r="D46" s="12" t="n"/>
      <c r="E46" s="12" t="n"/>
      <c r="F46" s="12">
        <f>SUM(F44:F45)</f>
        <v/>
      </c>
      <c r="G46" s="12">
        <f>SUM(G44:G45)</f>
        <v/>
      </c>
      <c r="H46" s="12">
        <f>SUM(H44:H45)</f>
        <v/>
      </c>
      <c r="I46" s="12" t="n"/>
      <c r="J46" s="12">
        <f>SUM(J44:J45)</f>
        <v/>
      </c>
      <c r="K46" s="12" t="n"/>
    </row>
    <row r="47">
      <c r="A47" s="6" t="n"/>
      <c r="B47" s="6" t="n"/>
      <c r="C47" s="6" t="inlineStr">
        <is>
          <t>ensemble charge</t>
        </is>
      </c>
      <c r="D47" s="12" t="n"/>
      <c r="E47" s="12" t="n"/>
      <c r="F47" s="12" t="n"/>
      <c r="G47" s="12">
        <f>SUMPRODUCT($D44:$D45,G44:G45)</f>
        <v/>
      </c>
      <c r="H47" s="12">
        <f>SUMPRODUCT($D44:$D45,H44:H45)</f>
        <v/>
      </c>
      <c r="I47" s="12" t="n"/>
      <c r="J47" s="12">
        <f>SUMPRODUCT($D44:$D45,J44:J45)</f>
        <v/>
      </c>
      <c r="K47" s="12" t="n"/>
    </row>
    <row r="49">
      <c r="A49" s="3" t="inlineStr">
        <is>
          <t>4MKC</t>
        </is>
      </c>
      <c r="B49" s="3" t="inlineStr">
        <is>
          <t>Ceritinib</t>
        </is>
      </c>
      <c r="C49" s="3" t="inlineStr">
        <is>
          <t>4MK+1</t>
        </is>
      </c>
      <c r="D49" s="10">
        <f>'Per-Trial Conf'!$D110</f>
        <v/>
      </c>
      <c r="E49" s="10">
        <f>IF(H49&gt;0,-$B$3*LN(H49),"")</f>
        <v/>
      </c>
      <c r="F49" s="10">
        <f>IF(E49="","",EXP(-E49/$B$3))</f>
        <v/>
      </c>
      <c r="G49" s="10">
        <f>IF(F49="","",F49/SUM(F$49:F$51))</f>
        <v/>
      </c>
      <c r="H49" s="10">
        <f>AVERAGE('Per-Trial Conf'!$E110:$G110)</f>
        <v/>
      </c>
      <c r="I49" s="10">
        <f>IF(COUNT('Per-Trial Conf'!$E110:$G110)&gt;1,STDEV('Per-Trial Conf'!$E110:$G110)/SQRT(COUNT('Per-Trial Conf'!$E110:$G110)),0)</f>
        <v/>
      </c>
      <c r="J49" s="10">
        <f>AVERAGE('Per-Trial Conf'!$H110:$J110)</f>
        <v/>
      </c>
      <c r="K49" s="10">
        <f>IF(COUNT('Per-Trial Conf'!$H110:$J110)&gt;1,STDEV('Per-Trial Conf'!$H110:$J110)/SQRT(COUNT('Per-Trial Conf'!$H110:$J110)),0)</f>
        <v/>
      </c>
    </row>
    <row r="50">
      <c r="A50" s="3" t="inlineStr">
        <is>
          <t>4MKC</t>
        </is>
      </c>
      <c r="B50" s="3" t="inlineStr">
        <is>
          <t>Ceritinib</t>
        </is>
      </c>
      <c r="C50" s="3" t="inlineStr">
        <is>
          <t>4MK+a</t>
        </is>
      </c>
      <c r="D50" s="10">
        <f>'Per-Trial Conf'!$D111</f>
        <v/>
      </c>
      <c r="E50" s="10">
        <f>IF(H50&gt;0,-$B$3*LN(H50),"")</f>
        <v/>
      </c>
      <c r="F50" s="10">
        <f>IF(E50="","",EXP(-E50/$B$3))</f>
        <v/>
      </c>
      <c r="G50" s="10">
        <f>IF(F50="","",F50/SUM(F$49:F$51))</f>
        <v/>
      </c>
      <c r="H50" s="10">
        <f>AVERAGE('Per-Trial Conf'!$E111:$G111)</f>
        <v/>
      </c>
      <c r="I50" s="10">
        <f>IF(COUNT('Per-Trial Conf'!$E111:$G111)&gt;1,STDEV('Per-Trial Conf'!$E111:$G111)/SQRT(COUNT('Per-Trial Conf'!$E111:$G111)),0)</f>
        <v/>
      </c>
      <c r="J50" s="10">
        <f>AVERAGE('Per-Trial Conf'!$H111:$J111)</f>
        <v/>
      </c>
      <c r="K50" s="10">
        <f>IF(COUNT('Per-Trial Conf'!$H111:$J111)&gt;1,STDEV('Per-Trial Conf'!$H111:$J111)/SQRT(COUNT('Per-Trial Conf'!$H111:$J111)),0)</f>
        <v/>
      </c>
    </row>
    <row r="51">
      <c r="A51" s="3" t="inlineStr">
        <is>
          <t>4MKC</t>
        </is>
      </c>
      <c r="B51" s="3" t="inlineStr">
        <is>
          <t>Ceritinib</t>
        </is>
      </c>
      <c r="C51" s="3" t="inlineStr">
        <is>
          <t>4MK01</t>
        </is>
      </c>
      <c r="D51" s="10">
        <f>'Per-Trial Conf'!$D112</f>
        <v/>
      </c>
      <c r="E51" s="10">
        <f>IF(H51&gt;0,-$B$3*LN(H51),"")</f>
        <v/>
      </c>
      <c r="F51" s="10">
        <f>IF(E51="","",EXP(-E51/$B$3))</f>
        <v/>
      </c>
      <c r="G51" s="10">
        <f>IF(F51="","",F51/SUM(F$49:F$51))</f>
        <v/>
      </c>
      <c r="H51" s="10">
        <f>AVERAGE('Per-Trial Conf'!$E112:$G112)</f>
        <v/>
      </c>
      <c r="I51" s="10">
        <f>IF(COUNT('Per-Trial Conf'!$E112:$G112)&gt;1,STDEV('Per-Trial Conf'!$E112:$G112)/SQRT(COUNT('Per-Trial Conf'!$E112:$G112)),0)</f>
        <v/>
      </c>
      <c r="J51" s="10">
        <f>AVERAGE('Per-Trial Conf'!$H112:$J112)</f>
        <v/>
      </c>
      <c r="K51" s="10">
        <f>IF(COUNT('Per-Trial Conf'!$H112:$J112)&gt;1,STDEV('Per-Trial Conf'!$H112:$J112)/SQRT(COUNT('Per-Trial Conf'!$H112:$J112)),0)</f>
        <v/>
      </c>
    </row>
    <row r="52">
      <c r="A52" s="6" t="n"/>
      <c r="B52" s="6" t="n"/>
      <c r="C52" s="6" t="inlineStr">
        <is>
          <t>SUM</t>
        </is>
      </c>
      <c r="D52" s="12" t="n"/>
      <c r="E52" s="12" t="n"/>
      <c r="F52" s="12">
        <f>SUM(F49:F51)</f>
        <v/>
      </c>
      <c r="G52" s="12">
        <f>SUM(G49:G51)</f>
        <v/>
      </c>
      <c r="H52" s="12">
        <f>SUM(H49:H51)</f>
        <v/>
      </c>
      <c r="I52" s="12" t="n"/>
      <c r="J52" s="12">
        <f>SUM(J49:J51)</f>
        <v/>
      </c>
      <c r="K52" s="12" t="n"/>
    </row>
    <row r="53">
      <c r="A53" s="6" t="n"/>
      <c r="B53" s="6" t="n"/>
      <c r="C53" s="6" t="inlineStr">
        <is>
          <t>ensemble charge</t>
        </is>
      </c>
      <c r="D53" s="12" t="n"/>
      <c r="E53" s="12" t="n"/>
      <c r="F53" s="12" t="n"/>
      <c r="G53" s="12">
        <f>SUMPRODUCT($D49:$D51,G49:G51)</f>
        <v/>
      </c>
      <c r="H53" s="12">
        <f>SUMPRODUCT($D49:$D51,H49:H51)</f>
        <v/>
      </c>
      <c r="I53" s="12" t="n"/>
      <c r="J53" s="12">
        <f>SUMPRODUCT($D49:$D51,J49:J51)</f>
        <v/>
      </c>
      <c r="K53" s="12" t="n"/>
    </row>
    <row r="55">
      <c r="A55" s="3" t="inlineStr">
        <is>
          <t>2XP2</t>
        </is>
      </c>
      <c r="B55" s="3" t="inlineStr">
        <is>
          <t>Crizotinib</t>
        </is>
      </c>
      <c r="C55" s="3" t="inlineStr">
        <is>
          <t>VGH+1</t>
        </is>
      </c>
      <c r="D55" s="10">
        <f>'Per-Trial Conf'!$D32</f>
        <v/>
      </c>
      <c r="E55" s="10">
        <f>IF(H55&gt;0,-$B$3*LN(H55),"")</f>
        <v/>
      </c>
      <c r="F55" s="10">
        <f>IF(E55="","",EXP(-E55/$B$3))</f>
        <v/>
      </c>
      <c r="G55" s="10">
        <f>IF(F55="","",F55/SUM(F$55:F$58))</f>
        <v/>
      </c>
      <c r="H55" s="10">
        <f>AVERAGE('Per-Trial Conf'!$E32:$G32)</f>
        <v/>
      </c>
      <c r="I55" s="10">
        <f>IF(COUNT('Per-Trial Conf'!$E32:$G32)&gt;1,STDEV('Per-Trial Conf'!$E32:$G32)/SQRT(COUNT('Per-Trial Conf'!$E32:$G32)),0)</f>
        <v/>
      </c>
      <c r="J55" s="10">
        <f>AVERAGE('Per-Trial Conf'!$H32:$J32)</f>
        <v/>
      </c>
      <c r="K55" s="10">
        <f>IF(COUNT('Per-Trial Conf'!$H32:$J32)&gt;1,STDEV('Per-Trial Conf'!$H32:$J32)/SQRT(COUNT('Per-Trial Conf'!$H32:$J32)),0)</f>
        <v/>
      </c>
    </row>
    <row r="56">
      <c r="A56" s="3" t="inlineStr">
        <is>
          <t>2XP2</t>
        </is>
      </c>
      <c r="B56" s="3" t="inlineStr">
        <is>
          <t>Crizotinib</t>
        </is>
      </c>
      <c r="C56" s="3" t="inlineStr">
        <is>
          <t>VGH+2</t>
        </is>
      </c>
      <c r="D56" s="10">
        <f>'Per-Trial Conf'!$D33</f>
        <v/>
      </c>
      <c r="E56" s="10">
        <f>IF(H56&gt;0,-$B$3*LN(H56),"")</f>
        <v/>
      </c>
      <c r="F56" s="10">
        <f>IF(E56="","",EXP(-E56/$B$3))</f>
        <v/>
      </c>
      <c r="G56" s="10">
        <f>IF(F56="","",F56/SUM(F$55:F$58))</f>
        <v/>
      </c>
      <c r="H56" s="10">
        <f>AVERAGE('Per-Trial Conf'!$E33:$G33)</f>
        <v/>
      </c>
      <c r="I56" s="10">
        <f>IF(COUNT('Per-Trial Conf'!$E33:$G33)&gt;1,STDEV('Per-Trial Conf'!$E33:$G33)/SQRT(COUNT('Per-Trial Conf'!$E33:$G33)),0)</f>
        <v/>
      </c>
      <c r="J56" s="10">
        <f>AVERAGE('Per-Trial Conf'!$H33:$J33)</f>
        <v/>
      </c>
      <c r="K56" s="10">
        <f>IF(COUNT('Per-Trial Conf'!$H33:$J33)&gt;1,STDEV('Per-Trial Conf'!$H33:$J33)/SQRT(COUNT('Per-Trial Conf'!$H33:$J33)),0)</f>
        <v/>
      </c>
    </row>
    <row r="57">
      <c r="A57" s="3" t="inlineStr">
        <is>
          <t>2XP2</t>
        </is>
      </c>
      <c r="B57" s="3" t="inlineStr">
        <is>
          <t>Crizotinib</t>
        </is>
      </c>
      <c r="C57" s="3" t="inlineStr">
        <is>
          <t>VGH+a</t>
        </is>
      </c>
      <c r="D57" s="10">
        <f>'Per-Trial Conf'!$D34</f>
        <v/>
      </c>
      <c r="E57" s="10">
        <f>IF(H57&gt;0,-$B$3*LN(H57),"")</f>
        <v/>
      </c>
      <c r="F57" s="10">
        <f>IF(E57="","",EXP(-E57/$B$3))</f>
        <v/>
      </c>
      <c r="G57" s="10">
        <f>IF(F57="","",F57/SUM(F$55:F$58))</f>
        <v/>
      </c>
      <c r="H57" s="10">
        <f>AVERAGE('Per-Trial Conf'!$E34:$G34)</f>
        <v/>
      </c>
      <c r="I57" s="10">
        <f>IF(COUNT('Per-Trial Conf'!$E34:$G34)&gt;1,STDEV('Per-Trial Conf'!$E34:$G34)/SQRT(COUNT('Per-Trial Conf'!$E34:$G34)),0)</f>
        <v/>
      </c>
      <c r="J57" s="10">
        <f>AVERAGE('Per-Trial Conf'!$H34:$J34)</f>
        <v/>
      </c>
      <c r="K57" s="10">
        <f>IF(COUNT('Per-Trial Conf'!$H34:$J34)&gt;1,STDEV('Per-Trial Conf'!$H34:$J34)/SQRT(COUNT('Per-Trial Conf'!$H34:$J34)),0)</f>
        <v/>
      </c>
    </row>
    <row r="58">
      <c r="A58" s="3" t="inlineStr">
        <is>
          <t>2XP2</t>
        </is>
      </c>
      <c r="B58" s="3" t="inlineStr">
        <is>
          <t>Crizotinib</t>
        </is>
      </c>
      <c r="C58" s="3" t="inlineStr">
        <is>
          <t>VGH01</t>
        </is>
      </c>
      <c r="D58" s="10">
        <f>'Per-Trial Conf'!$D35</f>
        <v/>
      </c>
      <c r="E58" s="10">
        <f>IF(H58&gt;0,-$B$3*LN(H58),"")</f>
        <v/>
      </c>
      <c r="F58" s="10">
        <f>IF(E58="","",EXP(-E58/$B$3))</f>
        <v/>
      </c>
      <c r="G58" s="10">
        <f>IF(F58="","",F58/SUM(F$55:F$58))</f>
        <v/>
      </c>
      <c r="H58" s="10">
        <f>AVERAGE('Per-Trial Conf'!$E35:$G35)</f>
        <v/>
      </c>
      <c r="I58" s="10">
        <f>IF(COUNT('Per-Trial Conf'!$E35:$G35)&gt;1,STDEV('Per-Trial Conf'!$E35:$G35)/SQRT(COUNT('Per-Trial Conf'!$E35:$G35)),0)</f>
        <v/>
      </c>
      <c r="J58" s="10">
        <f>AVERAGE('Per-Trial Conf'!$H35:$J35)</f>
        <v/>
      </c>
      <c r="K58" s="10">
        <f>IF(COUNT('Per-Trial Conf'!$H35:$J35)&gt;1,STDEV('Per-Trial Conf'!$H35:$J35)/SQRT(COUNT('Per-Trial Conf'!$H35:$J35)),0)</f>
        <v/>
      </c>
    </row>
    <row r="59">
      <c r="A59" s="6" t="n"/>
      <c r="B59" s="6" t="n"/>
      <c r="C59" s="6" t="inlineStr">
        <is>
          <t>SUM</t>
        </is>
      </c>
      <c r="D59" s="12" t="n"/>
      <c r="E59" s="12" t="n"/>
      <c r="F59" s="12">
        <f>SUM(F55:F58)</f>
        <v/>
      </c>
      <c r="G59" s="12">
        <f>SUM(G55:G58)</f>
        <v/>
      </c>
      <c r="H59" s="12">
        <f>SUM(H55:H58)</f>
        <v/>
      </c>
      <c r="I59" s="12" t="n"/>
      <c r="J59" s="12">
        <f>SUM(J55:J58)</f>
        <v/>
      </c>
      <c r="K59" s="12" t="n"/>
    </row>
    <row r="60">
      <c r="A60" s="6" t="n"/>
      <c r="B60" s="6" t="n"/>
      <c r="C60" s="6" t="inlineStr">
        <is>
          <t>ensemble charge</t>
        </is>
      </c>
      <c r="D60" s="12" t="n"/>
      <c r="E60" s="12" t="n"/>
      <c r="F60" s="12" t="n"/>
      <c r="G60" s="12">
        <f>SUMPRODUCT($D55:$D58,G55:G58)</f>
        <v/>
      </c>
      <c r="H60" s="12">
        <f>SUMPRODUCT($D55:$D58,H55:H58)</f>
        <v/>
      </c>
      <c r="I60" s="12" t="n"/>
      <c r="J60" s="12">
        <f>SUMPRODUCT($D55:$D58,J55:J58)</f>
        <v/>
      </c>
      <c r="K60" s="12" t="n"/>
    </row>
    <row r="62">
      <c r="A62" s="3" t="inlineStr">
        <is>
          <t>2YFX</t>
        </is>
      </c>
      <c r="B62" s="3" t="inlineStr">
        <is>
          <t>Crizotinib</t>
        </is>
      </c>
      <c r="C62" s="3" t="inlineStr">
        <is>
          <t>VGH+1</t>
        </is>
      </c>
      <c r="D62" s="10">
        <f>'Per-Trial Conf'!$D36</f>
        <v/>
      </c>
      <c r="E62" s="10">
        <f>IF(H62&gt;0,-$B$3*LN(H62),"")</f>
        <v/>
      </c>
      <c r="F62" s="10">
        <f>IF(E62="","",EXP(-E62/$B$3))</f>
        <v/>
      </c>
      <c r="G62" s="10">
        <f>IF(F62="","",F62/SUM(F$62:F$65))</f>
        <v/>
      </c>
      <c r="H62" s="10">
        <f>AVERAGE('Per-Trial Conf'!$E36:$G36)</f>
        <v/>
      </c>
      <c r="I62" s="10">
        <f>IF(COUNT('Per-Trial Conf'!$E36:$G36)&gt;1,STDEV('Per-Trial Conf'!$E36:$G36)/SQRT(COUNT('Per-Trial Conf'!$E36:$G36)),0)</f>
        <v/>
      </c>
      <c r="J62" s="10">
        <f>AVERAGE('Per-Trial Conf'!$H36:$J36)</f>
        <v/>
      </c>
      <c r="K62" s="10">
        <f>IF(COUNT('Per-Trial Conf'!$H36:$J36)&gt;1,STDEV('Per-Trial Conf'!$H36:$J36)/SQRT(COUNT('Per-Trial Conf'!$H36:$J36)),0)</f>
        <v/>
      </c>
    </row>
    <row r="63">
      <c r="A63" s="3" t="inlineStr">
        <is>
          <t>2YFX</t>
        </is>
      </c>
      <c r="B63" s="3" t="inlineStr">
        <is>
          <t>Crizotinib</t>
        </is>
      </c>
      <c r="C63" s="3" t="inlineStr">
        <is>
          <t>VGH+2</t>
        </is>
      </c>
      <c r="D63" s="10">
        <f>'Per-Trial Conf'!$D37</f>
        <v/>
      </c>
      <c r="E63" s="10">
        <f>IF(H63&gt;0,-$B$3*LN(H63),"")</f>
        <v/>
      </c>
      <c r="F63" s="10">
        <f>IF(E63="","",EXP(-E63/$B$3))</f>
        <v/>
      </c>
      <c r="G63" s="10">
        <f>IF(F63="","",F63/SUM(F$62:F$65))</f>
        <v/>
      </c>
      <c r="H63" s="10">
        <f>AVERAGE('Per-Trial Conf'!$E37:$G37)</f>
        <v/>
      </c>
      <c r="I63" s="10">
        <f>IF(COUNT('Per-Trial Conf'!$E37:$G37)&gt;1,STDEV('Per-Trial Conf'!$E37:$G37)/SQRT(COUNT('Per-Trial Conf'!$E37:$G37)),0)</f>
        <v/>
      </c>
      <c r="J63" s="10">
        <f>AVERAGE('Per-Trial Conf'!$H37:$J37)</f>
        <v/>
      </c>
      <c r="K63" s="10">
        <f>IF(COUNT('Per-Trial Conf'!$H37:$J37)&gt;1,STDEV('Per-Trial Conf'!$H37:$J37)/SQRT(COUNT('Per-Trial Conf'!$H37:$J37)),0)</f>
        <v/>
      </c>
    </row>
    <row r="64">
      <c r="A64" s="3" t="inlineStr">
        <is>
          <t>2YFX</t>
        </is>
      </c>
      <c r="B64" s="3" t="inlineStr">
        <is>
          <t>Crizotinib</t>
        </is>
      </c>
      <c r="C64" s="3" t="inlineStr">
        <is>
          <t>VGH+a</t>
        </is>
      </c>
      <c r="D64" s="10">
        <f>'Per-Trial Conf'!$D38</f>
        <v/>
      </c>
      <c r="E64" s="10">
        <f>IF(H64&gt;0,-$B$3*LN(H64),"")</f>
        <v/>
      </c>
      <c r="F64" s="10">
        <f>IF(E64="","",EXP(-E64/$B$3))</f>
        <v/>
      </c>
      <c r="G64" s="10">
        <f>IF(F64="","",F64/SUM(F$62:F$65))</f>
        <v/>
      </c>
      <c r="H64" s="10">
        <f>AVERAGE('Per-Trial Conf'!$E38:$G38)</f>
        <v/>
      </c>
      <c r="I64" s="10">
        <f>IF(COUNT('Per-Trial Conf'!$E38:$G38)&gt;1,STDEV('Per-Trial Conf'!$E38:$G38)/SQRT(COUNT('Per-Trial Conf'!$E38:$G38)),0)</f>
        <v/>
      </c>
      <c r="J64" s="10">
        <f>AVERAGE('Per-Trial Conf'!$H38:$J38)</f>
        <v/>
      </c>
      <c r="K64" s="10">
        <f>IF(COUNT('Per-Trial Conf'!$H38:$J38)&gt;1,STDEV('Per-Trial Conf'!$H38:$J38)/SQRT(COUNT('Per-Trial Conf'!$H38:$J38)),0)</f>
        <v/>
      </c>
    </row>
    <row r="65">
      <c r="A65" s="3" t="inlineStr">
        <is>
          <t>2YFX</t>
        </is>
      </c>
      <c r="B65" s="3" t="inlineStr">
        <is>
          <t>Crizotinib</t>
        </is>
      </c>
      <c r="C65" s="3" t="inlineStr">
        <is>
          <t>VGH01</t>
        </is>
      </c>
      <c r="D65" s="10">
        <f>'Per-Trial Conf'!$D39</f>
        <v/>
      </c>
      <c r="E65" s="10">
        <f>IF(H65&gt;0,-$B$3*LN(H65),"")</f>
        <v/>
      </c>
      <c r="F65" s="10">
        <f>IF(E65="","",EXP(-E65/$B$3))</f>
        <v/>
      </c>
      <c r="G65" s="10">
        <f>IF(F65="","",F65/SUM(F$62:F$65))</f>
        <v/>
      </c>
      <c r="H65" s="10">
        <f>AVERAGE('Per-Trial Conf'!$E39:$G39)</f>
        <v/>
      </c>
      <c r="I65" s="10">
        <f>IF(COUNT('Per-Trial Conf'!$E39:$G39)&gt;1,STDEV('Per-Trial Conf'!$E39:$G39)/SQRT(COUNT('Per-Trial Conf'!$E39:$G39)),0)</f>
        <v/>
      </c>
      <c r="J65" s="10">
        <f>AVERAGE('Per-Trial Conf'!$H39:$J39)</f>
        <v/>
      </c>
      <c r="K65" s="10">
        <f>IF(COUNT('Per-Trial Conf'!$H39:$J39)&gt;1,STDEV('Per-Trial Conf'!$H39:$J39)/SQRT(COUNT('Per-Trial Conf'!$H39:$J39)),0)</f>
        <v/>
      </c>
    </row>
    <row r="66">
      <c r="A66" s="6" t="n"/>
      <c r="B66" s="6" t="n"/>
      <c r="C66" s="6" t="inlineStr">
        <is>
          <t>SUM</t>
        </is>
      </c>
      <c r="D66" s="12" t="n"/>
      <c r="E66" s="12" t="n"/>
      <c r="F66" s="12">
        <f>SUM(F62:F65)</f>
        <v/>
      </c>
      <c r="G66" s="12">
        <f>SUM(G62:G65)</f>
        <v/>
      </c>
      <c r="H66" s="12">
        <f>SUM(H62:H65)</f>
        <v/>
      </c>
      <c r="I66" s="12" t="n"/>
      <c r="J66" s="12">
        <f>SUM(J62:J65)</f>
        <v/>
      </c>
      <c r="K66" s="12" t="n"/>
    </row>
    <row r="67">
      <c r="A67" s="6" t="n"/>
      <c r="B67" s="6" t="n"/>
      <c r="C67" s="6" t="inlineStr">
        <is>
          <t>ensemble charge</t>
        </is>
      </c>
      <c r="D67" s="12" t="n"/>
      <c r="E67" s="12" t="n"/>
      <c r="F67" s="12" t="n"/>
      <c r="G67" s="12">
        <f>SUMPRODUCT($D62:$D65,G62:G65)</f>
        <v/>
      </c>
      <c r="H67" s="12">
        <f>SUMPRODUCT($D62:$D65,H62:H65)</f>
        <v/>
      </c>
      <c r="I67" s="12" t="n"/>
      <c r="J67" s="12">
        <f>SUMPRODUCT($D62:$D65,J62:J65)</f>
        <v/>
      </c>
      <c r="K67" s="12" t="n"/>
    </row>
    <row r="69">
      <c r="A69" s="3" t="inlineStr">
        <is>
          <t>4ANQ</t>
        </is>
      </c>
      <c r="B69" s="3" t="inlineStr">
        <is>
          <t>Crizotinib</t>
        </is>
      </c>
      <c r="C69" s="3" t="inlineStr">
        <is>
          <t>VGH+1</t>
        </is>
      </c>
      <c r="D69" s="10">
        <f>'Per-Trial Conf'!$D84</f>
        <v/>
      </c>
      <c r="E69" s="10">
        <f>IF(H69&gt;0,-$B$3*LN(H69),"")</f>
        <v/>
      </c>
      <c r="F69" s="10">
        <f>IF(E69="","",EXP(-E69/$B$3))</f>
        <v/>
      </c>
      <c r="G69" s="10">
        <f>IF(F69="","",F69/SUM(F$69:F$72))</f>
        <v/>
      </c>
      <c r="H69" s="10">
        <f>AVERAGE('Per-Trial Conf'!$E84:$G84)</f>
        <v/>
      </c>
      <c r="I69" s="10">
        <f>IF(COUNT('Per-Trial Conf'!$E84:$G84)&gt;1,STDEV('Per-Trial Conf'!$E84:$G84)/SQRT(COUNT('Per-Trial Conf'!$E84:$G84)),0)</f>
        <v/>
      </c>
      <c r="J69" s="10">
        <f>AVERAGE('Per-Trial Conf'!$H84:$J84)</f>
        <v/>
      </c>
      <c r="K69" s="10">
        <f>IF(COUNT('Per-Trial Conf'!$H84:$J84)&gt;1,STDEV('Per-Trial Conf'!$H84:$J84)/SQRT(COUNT('Per-Trial Conf'!$H84:$J84)),0)</f>
        <v/>
      </c>
    </row>
    <row r="70">
      <c r="A70" s="3" t="inlineStr">
        <is>
          <t>4ANQ</t>
        </is>
      </c>
      <c r="B70" s="3" t="inlineStr">
        <is>
          <t>Crizotinib</t>
        </is>
      </c>
      <c r="C70" s="3" t="inlineStr">
        <is>
          <t>VGH+2</t>
        </is>
      </c>
      <c r="D70" s="10">
        <f>'Per-Trial Conf'!$D85</f>
        <v/>
      </c>
      <c r="E70" s="10">
        <f>IF(H70&gt;0,-$B$3*LN(H70),"")</f>
        <v/>
      </c>
      <c r="F70" s="10">
        <f>IF(E70="","",EXP(-E70/$B$3))</f>
        <v/>
      </c>
      <c r="G70" s="10">
        <f>IF(F70="","",F70/SUM(F$69:F$72))</f>
        <v/>
      </c>
      <c r="H70" s="10">
        <f>AVERAGE('Per-Trial Conf'!$E85:$G85)</f>
        <v/>
      </c>
      <c r="I70" s="10">
        <f>IF(COUNT('Per-Trial Conf'!$E85:$G85)&gt;1,STDEV('Per-Trial Conf'!$E85:$G85)/SQRT(COUNT('Per-Trial Conf'!$E85:$G85)),0)</f>
        <v/>
      </c>
      <c r="J70" s="10">
        <f>AVERAGE('Per-Trial Conf'!$H85:$J85)</f>
        <v/>
      </c>
      <c r="K70" s="10">
        <f>IF(COUNT('Per-Trial Conf'!$H85:$J85)&gt;1,STDEV('Per-Trial Conf'!$H85:$J85)/SQRT(COUNT('Per-Trial Conf'!$H85:$J85)),0)</f>
        <v/>
      </c>
    </row>
    <row r="71">
      <c r="A71" s="3" t="inlineStr">
        <is>
          <t>4ANQ</t>
        </is>
      </c>
      <c r="B71" s="3" t="inlineStr">
        <is>
          <t>Crizotinib</t>
        </is>
      </c>
      <c r="C71" s="3" t="inlineStr">
        <is>
          <t>VGH+a</t>
        </is>
      </c>
      <c r="D71" s="10">
        <f>'Per-Trial Conf'!$D86</f>
        <v/>
      </c>
      <c r="E71" s="10">
        <f>IF(H71&gt;0,-$B$3*LN(H71),"")</f>
        <v/>
      </c>
      <c r="F71" s="10">
        <f>IF(E71="","",EXP(-E71/$B$3))</f>
        <v/>
      </c>
      <c r="G71" s="10">
        <f>IF(F71="","",F71/SUM(F$69:F$72))</f>
        <v/>
      </c>
      <c r="H71" s="10">
        <f>AVERAGE('Per-Trial Conf'!$E86:$G86)</f>
        <v/>
      </c>
      <c r="I71" s="10">
        <f>IF(COUNT('Per-Trial Conf'!$E86:$G86)&gt;1,STDEV('Per-Trial Conf'!$E86:$G86)/SQRT(COUNT('Per-Trial Conf'!$E86:$G86)),0)</f>
        <v/>
      </c>
      <c r="J71" s="10">
        <f>AVERAGE('Per-Trial Conf'!$H86:$J86)</f>
        <v/>
      </c>
      <c r="K71" s="10">
        <f>IF(COUNT('Per-Trial Conf'!$H86:$J86)&gt;1,STDEV('Per-Trial Conf'!$H86:$J86)/SQRT(COUNT('Per-Trial Conf'!$H86:$J86)),0)</f>
        <v/>
      </c>
    </row>
    <row r="72">
      <c r="A72" s="3" t="inlineStr">
        <is>
          <t>4ANQ</t>
        </is>
      </c>
      <c r="B72" s="3" t="inlineStr">
        <is>
          <t>Crizotinib</t>
        </is>
      </c>
      <c r="C72" s="3" t="inlineStr">
        <is>
          <t>VGH01</t>
        </is>
      </c>
      <c r="D72" s="10">
        <f>'Per-Trial Conf'!$D87</f>
        <v/>
      </c>
      <c r="E72" s="10">
        <f>IF(H72&gt;0,-$B$3*LN(H72),"")</f>
        <v/>
      </c>
      <c r="F72" s="10">
        <f>IF(E72="","",EXP(-E72/$B$3))</f>
        <v/>
      </c>
      <c r="G72" s="10">
        <f>IF(F72="","",F72/SUM(F$69:F$72))</f>
        <v/>
      </c>
      <c r="H72" s="10">
        <f>AVERAGE('Per-Trial Conf'!$E87:$G87)</f>
        <v/>
      </c>
      <c r="I72" s="10">
        <f>IF(COUNT('Per-Trial Conf'!$E87:$G87)&gt;1,STDEV('Per-Trial Conf'!$E87:$G87)/SQRT(COUNT('Per-Trial Conf'!$E87:$G87)),0)</f>
        <v/>
      </c>
      <c r="J72" s="10">
        <f>AVERAGE('Per-Trial Conf'!$H87:$J87)</f>
        <v/>
      </c>
      <c r="K72" s="10">
        <f>IF(COUNT('Per-Trial Conf'!$H87:$J87)&gt;1,STDEV('Per-Trial Conf'!$H87:$J87)/SQRT(COUNT('Per-Trial Conf'!$H87:$J87)),0)</f>
        <v/>
      </c>
    </row>
    <row r="73">
      <c r="A73" s="6" t="n"/>
      <c r="B73" s="6" t="n"/>
      <c r="C73" s="6" t="inlineStr">
        <is>
          <t>SUM</t>
        </is>
      </c>
      <c r="D73" s="12" t="n"/>
      <c r="E73" s="12" t="n"/>
      <c r="F73" s="12">
        <f>SUM(F69:F72)</f>
        <v/>
      </c>
      <c r="G73" s="12">
        <f>SUM(G69:G72)</f>
        <v/>
      </c>
      <c r="H73" s="12">
        <f>SUM(H69:H72)</f>
        <v/>
      </c>
      <c r="I73" s="12" t="n"/>
      <c r="J73" s="12">
        <f>SUM(J69:J72)</f>
        <v/>
      </c>
      <c r="K73" s="12" t="n"/>
    </row>
    <row r="74">
      <c r="A74" s="6" t="n"/>
      <c r="B74" s="6" t="n"/>
      <c r="C74" s="6" t="inlineStr">
        <is>
          <t>ensemble charge</t>
        </is>
      </c>
      <c r="D74" s="12" t="n"/>
      <c r="E74" s="12" t="n"/>
      <c r="F74" s="12" t="n"/>
      <c r="G74" s="12">
        <f>SUMPRODUCT($D69:$D72,G69:G72)</f>
        <v/>
      </c>
      <c r="H74" s="12">
        <f>SUMPRODUCT($D69:$D72,H69:H72)</f>
        <v/>
      </c>
      <c r="I74" s="12" t="n"/>
      <c r="J74" s="12">
        <f>SUMPRODUCT($D69:$D72,J69:J72)</f>
        <v/>
      </c>
      <c r="K74" s="12" t="n"/>
    </row>
    <row r="76">
      <c r="A76" s="3" t="inlineStr">
        <is>
          <t>4ANS</t>
        </is>
      </c>
      <c r="B76" s="3" t="inlineStr">
        <is>
          <t>Crizotinib</t>
        </is>
      </c>
      <c r="C76" s="3" t="inlineStr">
        <is>
          <t>VGH+1</t>
        </is>
      </c>
      <c r="D76" s="10">
        <f>'Per-Trial Conf'!$D88</f>
        <v/>
      </c>
      <c r="E76" s="10">
        <f>IF(H76&gt;0,-$B$3*LN(H76),"")</f>
        <v/>
      </c>
      <c r="F76" s="10">
        <f>IF(E76="","",EXP(-E76/$B$3))</f>
        <v/>
      </c>
      <c r="G76" s="10">
        <f>IF(F76="","",F76/SUM(F$76:F$79))</f>
        <v/>
      </c>
      <c r="H76" s="10">
        <f>AVERAGE('Per-Trial Conf'!$E88:$G88)</f>
        <v/>
      </c>
      <c r="I76" s="10">
        <f>IF(COUNT('Per-Trial Conf'!$E88:$G88)&gt;1,STDEV('Per-Trial Conf'!$E88:$G88)/SQRT(COUNT('Per-Trial Conf'!$E88:$G88)),0)</f>
        <v/>
      </c>
      <c r="J76" s="10">
        <f>AVERAGE('Per-Trial Conf'!$H88:$J88)</f>
        <v/>
      </c>
      <c r="K76" s="10">
        <f>IF(COUNT('Per-Trial Conf'!$H88:$J88)&gt;1,STDEV('Per-Trial Conf'!$H88:$J88)/SQRT(COUNT('Per-Trial Conf'!$H88:$J88)),0)</f>
        <v/>
      </c>
    </row>
    <row r="77">
      <c r="A77" s="3" t="inlineStr">
        <is>
          <t>4ANS</t>
        </is>
      </c>
      <c r="B77" s="3" t="inlineStr">
        <is>
          <t>Crizotinib</t>
        </is>
      </c>
      <c r="C77" s="3" t="inlineStr">
        <is>
          <t>VGH+2</t>
        </is>
      </c>
      <c r="D77" s="10">
        <f>'Per-Trial Conf'!$D89</f>
        <v/>
      </c>
      <c r="E77" s="10">
        <f>IF(H77&gt;0,-$B$3*LN(H77),"")</f>
        <v/>
      </c>
      <c r="F77" s="10">
        <f>IF(E77="","",EXP(-E77/$B$3))</f>
        <v/>
      </c>
      <c r="G77" s="10">
        <f>IF(F77="","",F77/SUM(F$76:F$79))</f>
        <v/>
      </c>
      <c r="H77" s="10">
        <f>AVERAGE('Per-Trial Conf'!$E89:$G89)</f>
        <v/>
      </c>
      <c r="I77" s="10">
        <f>IF(COUNT('Per-Trial Conf'!$E89:$G89)&gt;1,STDEV('Per-Trial Conf'!$E89:$G89)/SQRT(COUNT('Per-Trial Conf'!$E89:$G89)),0)</f>
        <v/>
      </c>
      <c r="J77" s="10">
        <f>AVERAGE('Per-Trial Conf'!$H89:$J89)</f>
        <v/>
      </c>
      <c r="K77" s="10">
        <f>IF(COUNT('Per-Trial Conf'!$H89:$J89)&gt;1,STDEV('Per-Trial Conf'!$H89:$J89)/SQRT(COUNT('Per-Trial Conf'!$H89:$J89)),0)</f>
        <v/>
      </c>
    </row>
    <row r="78">
      <c r="A78" s="3" t="inlineStr">
        <is>
          <t>4ANS</t>
        </is>
      </c>
      <c r="B78" s="3" t="inlineStr">
        <is>
          <t>Crizotinib</t>
        </is>
      </c>
      <c r="C78" s="3" t="inlineStr">
        <is>
          <t>VGH+a</t>
        </is>
      </c>
      <c r="D78" s="10">
        <f>'Per-Trial Conf'!$D90</f>
        <v/>
      </c>
      <c r="E78" s="10">
        <f>IF(H78&gt;0,-$B$3*LN(H78),"")</f>
        <v/>
      </c>
      <c r="F78" s="10">
        <f>IF(E78="","",EXP(-E78/$B$3))</f>
        <v/>
      </c>
      <c r="G78" s="10">
        <f>IF(F78="","",F78/SUM(F$76:F$79))</f>
        <v/>
      </c>
      <c r="H78" s="10">
        <f>AVERAGE('Per-Trial Conf'!$E90:$G90)</f>
        <v/>
      </c>
      <c r="I78" s="10">
        <f>IF(COUNT('Per-Trial Conf'!$E90:$G90)&gt;1,STDEV('Per-Trial Conf'!$E90:$G90)/SQRT(COUNT('Per-Trial Conf'!$E90:$G90)),0)</f>
        <v/>
      </c>
      <c r="J78" s="10">
        <f>AVERAGE('Per-Trial Conf'!$H90:$J90)</f>
        <v/>
      </c>
      <c r="K78" s="10">
        <f>IF(COUNT('Per-Trial Conf'!$H90:$J90)&gt;1,STDEV('Per-Trial Conf'!$H90:$J90)/SQRT(COUNT('Per-Trial Conf'!$H90:$J90)),0)</f>
        <v/>
      </c>
    </row>
    <row r="79">
      <c r="A79" s="3" t="inlineStr">
        <is>
          <t>4ANS</t>
        </is>
      </c>
      <c r="B79" s="3" t="inlineStr">
        <is>
          <t>Crizotinib</t>
        </is>
      </c>
      <c r="C79" s="3" t="inlineStr">
        <is>
          <t>VGH01</t>
        </is>
      </c>
      <c r="D79" s="10">
        <f>'Per-Trial Conf'!$D91</f>
        <v/>
      </c>
      <c r="E79" s="10">
        <f>IF(H79&gt;0,-$B$3*LN(H79),"")</f>
        <v/>
      </c>
      <c r="F79" s="10">
        <f>IF(E79="","",EXP(-E79/$B$3))</f>
        <v/>
      </c>
      <c r="G79" s="10">
        <f>IF(F79="","",F79/SUM(F$76:F$79))</f>
        <v/>
      </c>
      <c r="H79" s="10">
        <f>AVERAGE('Per-Trial Conf'!$E91:$G91)</f>
        <v/>
      </c>
      <c r="I79" s="10">
        <f>IF(COUNT('Per-Trial Conf'!$E91:$G91)&gt;1,STDEV('Per-Trial Conf'!$E91:$G91)/SQRT(COUNT('Per-Trial Conf'!$E91:$G91)),0)</f>
        <v/>
      </c>
      <c r="J79" s="10">
        <f>AVERAGE('Per-Trial Conf'!$H91:$J91)</f>
        <v/>
      </c>
      <c r="K79" s="10">
        <f>IF(COUNT('Per-Trial Conf'!$H91:$J91)&gt;1,STDEV('Per-Trial Conf'!$H91:$J91)/SQRT(COUNT('Per-Trial Conf'!$H91:$J91)),0)</f>
        <v/>
      </c>
    </row>
    <row r="80">
      <c r="A80" s="6" t="n"/>
      <c r="B80" s="6" t="n"/>
      <c r="C80" s="6" t="inlineStr">
        <is>
          <t>SUM</t>
        </is>
      </c>
      <c r="D80" s="12" t="n"/>
      <c r="E80" s="12" t="n"/>
      <c r="F80" s="12">
        <f>SUM(F76:F79)</f>
        <v/>
      </c>
      <c r="G80" s="12">
        <f>SUM(G76:G79)</f>
        <v/>
      </c>
      <c r="H80" s="12">
        <f>SUM(H76:H79)</f>
        <v/>
      </c>
      <c r="I80" s="12" t="n"/>
      <c r="J80" s="12">
        <f>SUM(J76:J79)</f>
        <v/>
      </c>
      <c r="K80" s="12" t="n"/>
    </row>
    <row r="81">
      <c r="A81" s="6" t="n"/>
      <c r="B81" s="6" t="n"/>
      <c r="C81" s="6" t="inlineStr">
        <is>
          <t>ensemble charge</t>
        </is>
      </c>
      <c r="D81" s="12" t="n"/>
      <c r="E81" s="12" t="n"/>
      <c r="F81" s="12" t="n"/>
      <c r="G81" s="12">
        <f>SUMPRODUCT($D76:$D79,G76:G79)</f>
        <v/>
      </c>
      <c r="H81" s="12">
        <f>SUMPRODUCT($D76:$D79,H76:H79)</f>
        <v/>
      </c>
      <c r="I81" s="12" t="n"/>
      <c r="J81" s="12">
        <f>SUMPRODUCT($D76:$D79,J76:J79)</f>
        <v/>
      </c>
      <c r="K81" s="12" t="n"/>
    </row>
    <row r="83">
      <c r="A83" s="3" t="inlineStr">
        <is>
          <t>5AAA</t>
        </is>
      </c>
      <c r="B83" s="3" t="inlineStr">
        <is>
          <t>Crizotinib</t>
        </is>
      </c>
      <c r="C83" s="3" t="inlineStr">
        <is>
          <t>VGH+1</t>
        </is>
      </c>
      <c r="D83" s="10">
        <f>'Per-Trial Conf'!$D125</f>
        <v/>
      </c>
      <c r="E83" s="10">
        <f>IF(H83&gt;0,-$B$3*LN(H83),"")</f>
        <v/>
      </c>
      <c r="F83" s="10">
        <f>IF(E83="","",EXP(-E83/$B$3))</f>
        <v/>
      </c>
      <c r="G83" s="10">
        <f>IF(F83="","",F83/SUM(F$83:F$86))</f>
        <v/>
      </c>
      <c r="H83" s="10">
        <f>AVERAGE('Per-Trial Conf'!$E125:$G125)</f>
        <v/>
      </c>
      <c r="I83" s="10">
        <f>IF(COUNT('Per-Trial Conf'!$E125:$G125)&gt;1,STDEV('Per-Trial Conf'!$E125:$G125)/SQRT(COUNT('Per-Trial Conf'!$E125:$G125)),0)</f>
        <v/>
      </c>
      <c r="J83" s="10">
        <f>AVERAGE('Per-Trial Conf'!$H125:$J125)</f>
        <v/>
      </c>
      <c r="K83" s="10">
        <f>IF(COUNT('Per-Trial Conf'!$H125:$J125)&gt;1,STDEV('Per-Trial Conf'!$H125:$J125)/SQRT(COUNT('Per-Trial Conf'!$H125:$J125)),0)</f>
        <v/>
      </c>
    </row>
    <row r="84">
      <c r="A84" s="3" t="inlineStr">
        <is>
          <t>5AAA</t>
        </is>
      </c>
      <c r="B84" s="3" t="inlineStr">
        <is>
          <t>Crizotinib</t>
        </is>
      </c>
      <c r="C84" s="3" t="inlineStr">
        <is>
          <t>VGH+2</t>
        </is>
      </c>
      <c r="D84" s="10">
        <f>'Per-Trial Conf'!$D126</f>
        <v/>
      </c>
      <c r="E84" s="10">
        <f>IF(H84&gt;0,-$B$3*LN(H84),"")</f>
        <v/>
      </c>
      <c r="F84" s="10">
        <f>IF(E84="","",EXP(-E84/$B$3))</f>
        <v/>
      </c>
      <c r="G84" s="10">
        <f>IF(F84="","",F84/SUM(F$83:F$86))</f>
        <v/>
      </c>
      <c r="H84" s="10">
        <f>AVERAGE('Per-Trial Conf'!$E126:$G126)</f>
        <v/>
      </c>
      <c r="I84" s="10">
        <f>IF(COUNT('Per-Trial Conf'!$E126:$G126)&gt;1,STDEV('Per-Trial Conf'!$E126:$G126)/SQRT(COUNT('Per-Trial Conf'!$E126:$G126)),0)</f>
        <v/>
      </c>
      <c r="J84" s="10">
        <f>AVERAGE('Per-Trial Conf'!$H126:$J126)</f>
        <v/>
      </c>
      <c r="K84" s="10">
        <f>IF(COUNT('Per-Trial Conf'!$H126:$J126)&gt;1,STDEV('Per-Trial Conf'!$H126:$J126)/SQRT(COUNT('Per-Trial Conf'!$H126:$J126)),0)</f>
        <v/>
      </c>
    </row>
    <row r="85">
      <c r="A85" s="3" t="inlineStr">
        <is>
          <t>5AAA</t>
        </is>
      </c>
      <c r="B85" s="3" t="inlineStr">
        <is>
          <t>Crizotinib</t>
        </is>
      </c>
      <c r="C85" s="3" t="inlineStr">
        <is>
          <t>VGH+a</t>
        </is>
      </c>
      <c r="D85" s="10">
        <f>'Per-Trial Conf'!$D127</f>
        <v/>
      </c>
      <c r="E85" s="10">
        <f>IF(H85&gt;0,-$B$3*LN(H85),"")</f>
        <v/>
      </c>
      <c r="F85" s="10">
        <f>IF(E85="","",EXP(-E85/$B$3))</f>
        <v/>
      </c>
      <c r="G85" s="10">
        <f>IF(F85="","",F85/SUM(F$83:F$86))</f>
        <v/>
      </c>
      <c r="H85" s="10">
        <f>AVERAGE('Per-Trial Conf'!$E127:$G127)</f>
        <v/>
      </c>
      <c r="I85" s="10">
        <f>IF(COUNT('Per-Trial Conf'!$E127:$G127)&gt;1,STDEV('Per-Trial Conf'!$E127:$G127)/SQRT(COUNT('Per-Trial Conf'!$E127:$G127)),0)</f>
        <v/>
      </c>
      <c r="J85" s="10">
        <f>AVERAGE('Per-Trial Conf'!$H127:$J127)</f>
        <v/>
      </c>
      <c r="K85" s="10">
        <f>IF(COUNT('Per-Trial Conf'!$H127:$J127)&gt;1,STDEV('Per-Trial Conf'!$H127:$J127)/SQRT(COUNT('Per-Trial Conf'!$H127:$J127)),0)</f>
        <v/>
      </c>
    </row>
    <row r="86">
      <c r="A86" s="3" t="inlineStr">
        <is>
          <t>5AAA</t>
        </is>
      </c>
      <c r="B86" s="3" t="inlineStr">
        <is>
          <t>Crizotinib</t>
        </is>
      </c>
      <c r="C86" s="3" t="inlineStr">
        <is>
          <t>VGH01</t>
        </is>
      </c>
      <c r="D86" s="10">
        <f>'Per-Trial Conf'!$D128</f>
        <v/>
      </c>
      <c r="E86" s="10">
        <f>IF(H86&gt;0,-$B$3*LN(H86),"")</f>
        <v/>
      </c>
      <c r="F86" s="10">
        <f>IF(E86="","",EXP(-E86/$B$3))</f>
        <v/>
      </c>
      <c r="G86" s="10">
        <f>IF(F86="","",F86/SUM(F$83:F$86))</f>
        <v/>
      </c>
      <c r="H86" s="10">
        <f>AVERAGE('Per-Trial Conf'!$E128:$G128)</f>
        <v/>
      </c>
      <c r="I86" s="10">
        <f>IF(COUNT('Per-Trial Conf'!$E128:$G128)&gt;1,STDEV('Per-Trial Conf'!$E128:$G128)/SQRT(COUNT('Per-Trial Conf'!$E128:$G128)),0)</f>
        <v/>
      </c>
      <c r="J86" s="10">
        <f>AVERAGE('Per-Trial Conf'!$H128:$J128)</f>
        <v/>
      </c>
      <c r="K86" s="10">
        <f>IF(COUNT('Per-Trial Conf'!$H128:$J128)&gt;1,STDEV('Per-Trial Conf'!$H128:$J128)/SQRT(COUNT('Per-Trial Conf'!$H128:$J128)),0)</f>
        <v/>
      </c>
    </row>
    <row r="87">
      <c r="A87" s="6" t="n"/>
      <c r="B87" s="6" t="n"/>
      <c r="C87" s="6" t="inlineStr">
        <is>
          <t>SUM</t>
        </is>
      </c>
      <c r="D87" s="12" t="n"/>
      <c r="E87" s="12" t="n"/>
      <c r="F87" s="12">
        <f>SUM(F83:F86)</f>
        <v/>
      </c>
      <c r="G87" s="12">
        <f>SUM(G83:G86)</f>
        <v/>
      </c>
      <c r="H87" s="12">
        <f>SUM(H83:H86)</f>
        <v/>
      </c>
      <c r="I87" s="12" t="n"/>
      <c r="J87" s="12">
        <f>SUM(J83:J86)</f>
        <v/>
      </c>
      <c r="K87" s="12" t="n"/>
    </row>
    <row r="88">
      <c r="A88" s="6" t="n"/>
      <c r="B88" s="6" t="n"/>
      <c r="C88" s="6" t="inlineStr">
        <is>
          <t>ensemble charge</t>
        </is>
      </c>
      <c r="D88" s="12" t="n"/>
      <c r="E88" s="12" t="n"/>
      <c r="F88" s="12" t="n"/>
      <c r="G88" s="12">
        <f>SUMPRODUCT($D83:$D86,G83:G86)</f>
        <v/>
      </c>
      <c r="H88" s="12">
        <f>SUMPRODUCT($D83:$D86,H83:H86)</f>
        <v/>
      </c>
      <c r="I88" s="12" t="n"/>
      <c r="J88" s="12">
        <f>SUMPRODUCT($D83:$D86,J83:J86)</f>
        <v/>
      </c>
      <c r="K88" s="12" t="n"/>
    </row>
    <row r="90">
      <c r="A90" s="3" t="inlineStr">
        <is>
          <t>5AAB</t>
        </is>
      </c>
      <c r="B90" s="3" t="inlineStr">
        <is>
          <t>Crizotinib</t>
        </is>
      </c>
      <c r="C90" s="3" t="inlineStr">
        <is>
          <t>VGH+1</t>
        </is>
      </c>
      <c r="D90" s="10">
        <f>'Per-Trial Conf'!$D129</f>
        <v/>
      </c>
      <c r="E90" s="10">
        <f>IF(H90&gt;0,-$B$3*LN(H90),"")</f>
        <v/>
      </c>
      <c r="F90" s="10">
        <f>IF(E90="","",EXP(-E90/$B$3))</f>
        <v/>
      </c>
      <c r="G90" s="10">
        <f>IF(F90="","",F90/SUM(F$90:F$93))</f>
        <v/>
      </c>
      <c r="H90" s="10">
        <f>AVERAGE('Per-Trial Conf'!$E129:$G129)</f>
        <v/>
      </c>
      <c r="I90" s="10">
        <f>IF(COUNT('Per-Trial Conf'!$E129:$G129)&gt;1,STDEV('Per-Trial Conf'!$E129:$G129)/SQRT(COUNT('Per-Trial Conf'!$E129:$G129)),0)</f>
        <v/>
      </c>
      <c r="J90" s="10">
        <f>AVERAGE('Per-Trial Conf'!$H129:$J129)</f>
        <v/>
      </c>
      <c r="K90" s="10">
        <f>IF(COUNT('Per-Trial Conf'!$H129:$J129)&gt;1,STDEV('Per-Trial Conf'!$H129:$J129)/SQRT(COUNT('Per-Trial Conf'!$H129:$J129)),0)</f>
        <v/>
      </c>
    </row>
    <row r="91">
      <c r="A91" s="3" t="inlineStr">
        <is>
          <t>5AAB</t>
        </is>
      </c>
      <c r="B91" s="3" t="inlineStr">
        <is>
          <t>Crizotinib</t>
        </is>
      </c>
      <c r="C91" s="3" t="inlineStr">
        <is>
          <t>VGH+2</t>
        </is>
      </c>
      <c r="D91" s="10">
        <f>'Per-Trial Conf'!$D130</f>
        <v/>
      </c>
      <c r="E91" s="10">
        <f>IF(H91&gt;0,-$B$3*LN(H91),"")</f>
        <v/>
      </c>
      <c r="F91" s="10">
        <f>IF(E91="","",EXP(-E91/$B$3))</f>
        <v/>
      </c>
      <c r="G91" s="10">
        <f>IF(F91="","",F91/SUM(F$90:F$93))</f>
        <v/>
      </c>
      <c r="H91" s="10">
        <f>AVERAGE('Per-Trial Conf'!$E130:$G130)</f>
        <v/>
      </c>
      <c r="I91" s="10">
        <f>IF(COUNT('Per-Trial Conf'!$E130:$G130)&gt;1,STDEV('Per-Trial Conf'!$E130:$G130)/SQRT(COUNT('Per-Trial Conf'!$E130:$G130)),0)</f>
        <v/>
      </c>
      <c r="J91" s="10">
        <f>AVERAGE('Per-Trial Conf'!$H130:$J130)</f>
        <v/>
      </c>
      <c r="K91" s="10">
        <f>IF(COUNT('Per-Trial Conf'!$H130:$J130)&gt;1,STDEV('Per-Trial Conf'!$H130:$J130)/SQRT(COUNT('Per-Trial Conf'!$H130:$J130)),0)</f>
        <v/>
      </c>
    </row>
    <row r="92">
      <c r="A92" s="3" t="inlineStr">
        <is>
          <t>5AAB</t>
        </is>
      </c>
      <c r="B92" s="3" t="inlineStr">
        <is>
          <t>Crizotinib</t>
        </is>
      </c>
      <c r="C92" s="3" t="inlineStr">
        <is>
          <t>VGH+a</t>
        </is>
      </c>
      <c r="D92" s="10">
        <f>'Per-Trial Conf'!$D131</f>
        <v/>
      </c>
      <c r="E92" s="10">
        <f>IF(H92&gt;0,-$B$3*LN(H92),"")</f>
        <v/>
      </c>
      <c r="F92" s="10">
        <f>IF(E92="","",EXP(-E92/$B$3))</f>
        <v/>
      </c>
      <c r="G92" s="10">
        <f>IF(F92="","",F92/SUM(F$90:F$93))</f>
        <v/>
      </c>
      <c r="H92" s="10">
        <f>AVERAGE('Per-Trial Conf'!$E131:$G131)</f>
        <v/>
      </c>
      <c r="I92" s="10">
        <f>IF(COUNT('Per-Trial Conf'!$E131:$G131)&gt;1,STDEV('Per-Trial Conf'!$E131:$G131)/SQRT(COUNT('Per-Trial Conf'!$E131:$G131)),0)</f>
        <v/>
      </c>
      <c r="J92" s="10">
        <f>AVERAGE('Per-Trial Conf'!$H131:$J131)</f>
        <v/>
      </c>
      <c r="K92" s="10">
        <f>IF(COUNT('Per-Trial Conf'!$H131:$J131)&gt;1,STDEV('Per-Trial Conf'!$H131:$J131)/SQRT(COUNT('Per-Trial Conf'!$H131:$J131)),0)</f>
        <v/>
      </c>
    </row>
    <row r="93">
      <c r="A93" s="3" t="inlineStr">
        <is>
          <t>5AAB</t>
        </is>
      </c>
      <c r="B93" s="3" t="inlineStr">
        <is>
          <t>Crizotinib</t>
        </is>
      </c>
      <c r="C93" s="3" t="inlineStr">
        <is>
          <t>VGH01</t>
        </is>
      </c>
      <c r="D93" s="10">
        <f>'Per-Trial Conf'!$D132</f>
        <v/>
      </c>
      <c r="E93" s="10">
        <f>IF(H93&gt;0,-$B$3*LN(H93),"")</f>
        <v/>
      </c>
      <c r="F93" s="10">
        <f>IF(E93="","",EXP(-E93/$B$3))</f>
        <v/>
      </c>
      <c r="G93" s="10">
        <f>IF(F93="","",F93/SUM(F$90:F$93))</f>
        <v/>
      </c>
      <c r="H93" s="10">
        <f>AVERAGE('Per-Trial Conf'!$E132:$G132)</f>
        <v/>
      </c>
      <c r="I93" s="10">
        <f>IF(COUNT('Per-Trial Conf'!$E132:$G132)&gt;1,STDEV('Per-Trial Conf'!$E132:$G132)/SQRT(COUNT('Per-Trial Conf'!$E132:$G132)),0)</f>
        <v/>
      </c>
      <c r="J93" s="10">
        <f>AVERAGE('Per-Trial Conf'!$H132:$J132)</f>
        <v/>
      </c>
      <c r="K93" s="10">
        <f>IF(COUNT('Per-Trial Conf'!$H132:$J132)&gt;1,STDEV('Per-Trial Conf'!$H132:$J132)/SQRT(COUNT('Per-Trial Conf'!$H132:$J132)),0)</f>
        <v/>
      </c>
    </row>
    <row r="94">
      <c r="A94" s="6" t="n"/>
      <c r="B94" s="6" t="n"/>
      <c r="C94" s="6" t="inlineStr">
        <is>
          <t>SUM</t>
        </is>
      </c>
      <c r="D94" s="12" t="n"/>
      <c r="E94" s="12" t="n"/>
      <c r="F94" s="12">
        <f>SUM(F90:F93)</f>
        <v/>
      </c>
      <c r="G94" s="12">
        <f>SUM(G90:G93)</f>
        <v/>
      </c>
      <c r="H94" s="12">
        <f>SUM(H90:H93)</f>
        <v/>
      </c>
      <c r="I94" s="12" t="n"/>
      <c r="J94" s="12">
        <f>SUM(J90:J93)</f>
        <v/>
      </c>
      <c r="K94" s="12" t="n"/>
    </row>
    <row r="95">
      <c r="A95" s="6" t="n"/>
      <c r="B95" s="6" t="n"/>
      <c r="C95" s="6" t="inlineStr">
        <is>
          <t>ensemble charge</t>
        </is>
      </c>
      <c r="D95" s="12" t="n"/>
      <c r="E95" s="12" t="n"/>
      <c r="F95" s="12" t="n"/>
      <c r="G95" s="12">
        <f>SUMPRODUCT($D90:$D93,G90:G93)</f>
        <v/>
      </c>
      <c r="H95" s="12">
        <f>SUMPRODUCT($D90:$D93,H90:H93)</f>
        <v/>
      </c>
      <c r="I95" s="12" t="n"/>
      <c r="J95" s="12">
        <f>SUMPRODUCT($D90:$D93,J90:J93)</f>
        <v/>
      </c>
      <c r="K95" s="12" t="n"/>
    </row>
    <row r="97">
      <c r="A97" s="3" t="inlineStr">
        <is>
          <t>5AAC</t>
        </is>
      </c>
      <c r="B97" s="3" t="inlineStr">
        <is>
          <t>Crizotinib</t>
        </is>
      </c>
      <c r="C97" s="3" t="inlineStr">
        <is>
          <t>VGH+1</t>
        </is>
      </c>
      <c r="D97" s="10">
        <f>'Per-Trial Conf'!$D133</f>
        <v/>
      </c>
      <c r="E97" s="10">
        <f>IF(H97&gt;0,-$B$3*LN(H97),"")</f>
        <v/>
      </c>
      <c r="F97" s="10">
        <f>IF(E97="","",EXP(-E97/$B$3))</f>
        <v/>
      </c>
      <c r="G97" s="10">
        <f>IF(F97="","",F97/SUM(F$97:F$100))</f>
        <v/>
      </c>
      <c r="H97" s="10">
        <f>AVERAGE('Per-Trial Conf'!$E133:$G133)</f>
        <v/>
      </c>
      <c r="I97" s="10">
        <f>IF(COUNT('Per-Trial Conf'!$E133:$G133)&gt;1,STDEV('Per-Trial Conf'!$E133:$G133)/SQRT(COUNT('Per-Trial Conf'!$E133:$G133)),0)</f>
        <v/>
      </c>
      <c r="J97" s="10">
        <f>AVERAGE('Per-Trial Conf'!$H133:$J133)</f>
        <v/>
      </c>
      <c r="K97" s="10">
        <f>IF(COUNT('Per-Trial Conf'!$H133:$J133)&gt;1,STDEV('Per-Trial Conf'!$H133:$J133)/SQRT(COUNT('Per-Trial Conf'!$H133:$J133)),0)</f>
        <v/>
      </c>
    </row>
    <row r="98">
      <c r="A98" s="3" t="inlineStr">
        <is>
          <t>5AAC</t>
        </is>
      </c>
      <c r="B98" s="3" t="inlineStr">
        <is>
          <t>Crizotinib</t>
        </is>
      </c>
      <c r="C98" s="3" t="inlineStr">
        <is>
          <t>VGH+2</t>
        </is>
      </c>
      <c r="D98" s="10">
        <f>'Per-Trial Conf'!$D134</f>
        <v/>
      </c>
      <c r="E98" s="10">
        <f>IF(H98&gt;0,-$B$3*LN(H98),"")</f>
        <v/>
      </c>
      <c r="F98" s="10">
        <f>IF(E98="","",EXP(-E98/$B$3))</f>
        <v/>
      </c>
      <c r="G98" s="10">
        <f>IF(F98="","",F98/SUM(F$97:F$100))</f>
        <v/>
      </c>
      <c r="H98" s="10">
        <f>AVERAGE('Per-Trial Conf'!$E134:$G134)</f>
        <v/>
      </c>
      <c r="I98" s="10">
        <f>IF(COUNT('Per-Trial Conf'!$E134:$G134)&gt;1,STDEV('Per-Trial Conf'!$E134:$G134)/SQRT(COUNT('Per-Trial Conf'!$E134:$G134)),0)</f>
        <v/>
      </c>
      <c r="J98" s="10">
        <f>AVERAGE('Per-Trial Conf'!$H134:$J134)</f>
        <v/>
      </c>
      <c r="K98" s="10">
        <f>IF(COUNT('Per-Trial Conf'!$H134:$J134)&gt;1,STDEV('Per-Trial Conf'!$H134:$J134)/SQRT(COUNT('Per-Trial Conf'!$H134:$J134)),0)</f>
        <v/>
      </c>
    </row>
    <row r="99">
      <c r="A99" s="3" t="inlineStr">
        <is>
          <t>5AAC</t>
        </is>
      </c>
      <c r="B99" s="3" t="inlineStr">
        <is>
          <t>Crizotinib</t>
        </is>
      </c>
      <c r="C99" s="3" t="inlineStr">
        <is>
          <t>VGH+a</t>
        </is>
      </c>
      <c r="D99" s="10">
        <f>'Per-Trial Conf'!$D135</f>
        <v/>
      </c>
      <c r="E99" s="10">
        <f>IF(H99&gt;0,-$B$3*LN(H99),"")</f>
        <v/>
      </c>
      <c r="F99" s="10">
        <f>IF(E99="","",EXP(-E99/$B$3))</f>
        <v/>
      </c>
      <c r="G99" s="10">
        <f>IF(F99="","",F99/SUM(F$97:F$100))</f>
        <v/>
      </c>
      <c r="H99" s="10">
        <f>AVERAGE('Per-Trial Conf'!$E135:$G135)</f>
        <v/>
      </c>
      <c r="I99" s="10">
        <f>IF(COUNT('Per-Trial Conf'!$E135:$G135)&gt;1,STDEV('Per-Trial Conf'!$E135:$G135)/SQRT(COUNT('Per-Trial Conf'!$E135:$G135)),0)</f>
        <v/>
      </c>
      <c r="J99" s="10">
        <f>AVERAGE('Per-Trial Conf'!$H135:$J135)</f>
        <v/>
      </c>
      <c r="K99" s="10">
        <f>IF(COUNT('Per-Trial Conf'!$H135:$J135)&gt;1,STDEV('Per-Trial Conf'!$H135:$J135)/SQRT(COUNT('Per-Trial Conf'!$H135:$J135)),0)</f>
        <v/>
      </c>
    </row>
    <row r="100">
      <c r="A100" s="3" t="inlineStr">
        <is>
          <t>5AAC</t>
        </is>
      </c>
      <c r="B100" s="3" t="inlineStr">
        <is>
          <t>Crizotinib</t>
        </is>
      </c>
      <c r="C100" s="3" t="inlineStr">
        <is>
          <t>VGH01</t>
        </is>
      </c>
      <c r="D100" s="10">
        <f>'Per-Trial Conf'!$D136</f>
        <v/>
      </c>
      <c r="E100" s="10">
        <f>IF(H100&gt;0,-$B$3*LN(H100),"")</f>
        <v/>
      </c>
      <c r="F100" s="10">
        <f>IF(E100="","",EXP(-E100/$B$3))</f>
        <v/>
      </c>
      <c r="G100" s="10">
        <f>IF(F100="","",F100/SUM(F$97:F$100))</f>
        <v/>
      </c>
      <c r="H100" s="10">
        <f>AVERAGE('Per-Trial Conf'!$E136:$G136)</f>
        <v/>
      </c>
      <c r="I100" s="10">
        <f>IF(COUNT('Per-Trial Conf'!$E136:$G136)&gt;1,STDEV('Per-Trial Conf'!$E136:$G136)/SQRT(COUNT('Per-Trial Conf'!$E136:$G136)),0)</f>
        <v/>
      </c>
      <c r="J100" s="10">
        <f>AVERAGE('Per-Trial Conf'!$H136:$J136)</f>
        <v/>
      </c>
      <c r="K100" s="10">
        <f>IF(COUNT('Per-Trial Conf'!$H136:$J136)&gt;1,STDEV('Per-Trial Conf'!$H136:$J136)/SQRT(COUNT('Per-Trial Conf'!$H136:$J136)),0)</f>
        <v/>
      </c>
    </row>
    <row r="101">
      <c r="A101" s="6" t="n"/>
      <c r="B101" s="6" t="n"/>
      <c r="C101" s="6" t="inlineStr">
        <is>
          <t>SUM</t>
        </is>
      </c>
      <c r="D101" s="12" t="n"/>
      <c r="E101" s="12" t="n"/>
      <c r="F101" s="12">
        <f>SUM(F97:F100)</f>
        <v/>
      </c>
      <c r="G101" s="12">
        <f>SUM(G97:G100)</f>
        <v/>
      </c>
      <c r="H101" s="12">
        <f>SUM(H97:H100)</f>
        <v/>
      </c>
      <c r="I101" s="12" t="n"/>
      <c r="J101" s="12">
        <f>SUM(J97:J100)</f>
        <v/>
      </c>
      <c r="K101" s="12" t="n"/>
    </row>
    <row r="102">
      <c r="A102" s="6" t="n"/>
      <c r="B102" s="6" t="n"/>
      <c r="C102" s="6" t="inlineStr">
        <is>
          <t>ensemble charge</t>
        </is>
      </c>
      <c r="D102" s="12" t="n"/>
      <c r="E102" s="12" t="n"/>
      <c r="F102" s="12" t="n"/>
      <c r="G102" s="12">
        <f>SUMPRODUCT($D97:$D100,G97:G100)</f>
        <v/>
      </c>
      <c r="H102" s="12">
        <f>SUMPRODUCT($D97:$D100,H97:H100)</f>
        <v/>
      </c>
      <c r="I102" s="12" t="n"/>
      <c r="J102" s="12">
        <f>SUMPRODUCT($D97:$D100,J97:J100)</f>
        <v/>
      </c>
      <c r="K102" s="12" t="n"/>
    </row>
    <row r="104">
      <c r="A104" s="7" t="n"/>
      <c r="B104" s="8" t="inlineStr">
        <is>
          <t>CDK6</t>
        </is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3" t="inlineStr">
        <is>
          <t>2EUF</t>
        </is>
      </c>
      <c r="B105" s="3" t="inlineStr">
        <is>
          <t>Palbociclib</t>
        </is>
      </c>
      <c r="C105" s="3" t="inlineStr">
        <is>
          <t>LQQ+1</t>
        </is>
      </c>
      <c r="D105" s="10">
        <f>'Per-Trial Conf'!$D6</f>
        <v/>
      </c>
      <c r="E105" s="10">
        <f>IF(H105&gt;0,-$B$3*LN(H105),"")</f>
        <v/>
      </c>
      <c r="F105" s="10">
        <f>IF(E105="","",EXP(-E105/$B$3))</f>
        <v/>
      </c>
      <c r="G105" s="10">
        <f>IF(F105="","",F105/SUM(F$105:F$106))</f>
        <v/>
      </c>
      <c r="H105" s="10">
        <f>AVERAGE('Per-Trial Conf'!$E6:$G6)</f>
        <v/>
      </c>
      <c r="I105" s="10">
        <f>IF(COUNT('Per-Trial Conf'!$E6:$G6)&gt;1,STDEV('Per-Trial Conf'!$E6:$G6)/SQRT(COUNT('Per-Trial Conf'!$E6:$G6)),0)</f>
        <v/>
      </c>
      <c r="J105" s="10">
        <f>AVERAGE('Per-Trial Conf'!$H6:$J6)</f>
        <v/>
      </c>
      <c r="K105" s="10">
        <f>IF(COUNT('Per-Trial Conf'!$H6:$J6)&gt;1,STDEV('Per-Trial Conf'!$H6:$J6)/SQRT(COUNT('Per-Trial Conf'!$H6:$J6)),0)</f>
        <v/>
      </c>
    </row>
    <row r="106">
      <c r="A106" s="3" t="inlineStr">
        <is>
          <t>2EUF</t>
        </is>
      </c>
      <c r="B106" s="3" t="inlineStr">
        <is>
          <t>Palbociclib</t>
        </is>
      </c>
      <c r="C106" s="3" t="inlineStr">
        <is>
          <t>LQQ01</t>
        </is>
      </c>
      <c r="D106" s="10">
        <f>'Per-Trial Conf'!$D7</f>
        <v/>
      </c>
      <c r="E106" s="10">
        <f>IF(H106&gt;0,-$B$3*LN(H106),"")</f>
        <v/>
      </c>
      <c r="F106" s="10">
        <f>IF(E106="","",EXP(-E106/$B$3))</f>
        <v/>
      </c>
      <c r="G106" s="10">
        <f>IF(F106="","",F106/SUM(F$105:F$106))</f>
        <v/>
      </c>
      <c r="H106" s="10">
        <f>AVERAGE('Per-Trial Conf'!$E7:$G7)</f>
        <v/>
      </c>
      <c r="I106" s="10">
        <f>IF(COUNT('Per-Trial Conf'!$E7:$G7)&gt;1,STDEV('Per-Trial Conf'!$E7:$G7)/SQRT(COUNT('Per-Trial Conf'!$E7:$G7)),0)</f>
        <v/>
      </c>
      <c r="J106" s="10">
        <f>AVERAGE('Per-Trial Conf'!$H7:$J7)</f>
        <v/>
      </c>
      <c r="K106" s="10">
        <f>IF(COUNT('Per-Trial Conf'!$H7:$J7)&gt;1,STDEV('Per-Trial Conf'!$H7:$J7)/SQRT(COUNT('Per-Trial Conf'!$H7:$J7)),0)</f>
        <v/>
      </c>
    </row>
    <row r="107">
      <c r="A107" s="6" t="n"/>
      <c r="B107" s="6" t="n"/>
      <c r="C107" s="6" t="inlineStr">
        <is>
          <t>SUM</t>
        </is>
      </c>
      <c r="D107" s="12" t="n"/>
      <c r="E107" s="12" t="n"/>
      <c r="F107" s="12">
        <f>SUM(F105:F106)</f>
        <v/>
      </c>
      <c r="G107" s="12">
        <f>SUM(G105:G106)</f>
        <v/>
      </c>
      <c r="H107" s="12">
        <f>SUM(H105:H106)</f>
        <v/>
      </c>
      <c r="I107" s="12" t="n"/>
      <c r="J107" s="12">
        <f>SUM(J105:J106)</f>
        <v/>
      </c>
      <c r="K107" s="12" t="n"/>
    </row>
    <row r="108">
      <c r="A108" s="6" t="n"/>
      <c r="B108" s="6" t="n"/>
      <c r="C108" s="6" t="inlineStr">
        <is>
          <t>ensemble charge</t>
        </is>
      </c>
      <c r="D108" s="12" t="n"/>
      <c r="E108" s="12" t="n"/>
      <c r="F108" s="12" t="n"/>
      <c r="G108" s="12">
        <f>SUMPRODUCT($D105:$D106,G105:G106)</f>
        <v/>
      </c>
      <c r="H108" s="12">
        <f>SUMPRODUCT($D105:$D106,H105:H106)</f>
        <v/>
      </c>
      <c r="I108" s="12" t="n"/>
      <c r="J108" s="12">
        <f>SUMPRODUCT($D105:$D106,J105:J106)</f>
        <v/>
      </c>
      <c r="K108" s="12" t="n"/>
    </row>
    <row r="110">
      <c r="A110" s="3" t="inlineStr">
        <is>
          <t>5L2I</t>
        </is>
      </c>
      <c r="B110" s="3" t="inlineStr">
        <is>
          <t>Palbociclib</t>
        </is>
      </c>
      <c r="C110" s="3" t="inlineStr">
        <is>
          <t>LQQ+1</t>
        </is>
      </c>
      <c r="D110" s="10">
        <f>'Per-Trial Conf'!$D137</f>
        <v/>
      </c>
      <c r="E110" s="10">
        <f>IF(H110&gt;0,-$B$3*LN(H110),"")</f>
        <v/>
      </c>
      <c r="F110" s="10">
        <f>IF(E110="","",EXP(-E110/$B$3))</f>
        <v/>
      </c>
      <c r="G110" s="10">
        <f>IF(F110="","",F110/SUM(F$110:F$111))</f>
        <v/>
      </c>
      <c r="H110" s="10">
        <f>AVERAGE('Per-Trial Conf'!$E137:$G137)</f>
        <v/>
      </c>
      <c r="I110" s="10">
        <f>IF(COUNT('Per-Trial Conf'!$E137:$G137)&gt;1,STDEV('Per-Trial Conf'!$E137:$G137)/SQRT(COUNT('Per-Trial Conf'!$E137:$G137)),0)</f>
        <v/>
      </c>
      <c r="J110" s="10">
        <f>AVERAGE('Per-Trial Conf'!$H137:$J137)</f>
        <v/>
      </c>
      <c r="K110" s="10">
        <f>IF(COUNT('Per-Trial Conf'!$H137:$J137)&gt;1,STDEV('Per-Trial Conf'!$H137:$J137)/SQRT(COUNT('Per-Trial Conf'!$H137:$J137)),0)</f>
        <v/>
      </c>
    </row>
    <row r="111">
      <c r="A111" s="3" t="inlineStr">
        <is>
          <t>5L2I</t>
        </is>
      </c>
      <c r="B111" s="3" t="inlineStr">
        <is>
          <t>Palbociclib</t>
        </is>
      </c>
      <c r="C111" s="3" t="inlineStr">
        <is>
          <t>LQQ01</t>
        </is>
      </c>
      <c r="D111" s="10">
        <f>'Per-Trial Conf'!$D138</f>
        <v/>
      </c>
      <c r="E111" s="10">
        <f>IF(H111&gt;0,-$B$3*LN(H111),"")</f>
        <v/>
      </c>
      <c r="F111" s="10">
        <f>IF(E111="","",EXP(-E111/$B$3))</f>
        <v/>
      </c>
      <c r="G111" s="10">
        <f>IF(F111="","",F111/SUM(F$110:F$111))</f>
        <v/>
      </c>
      <c r="H111" s="10">
        <f>AVERAGE('Per-Trial Conf'!$E138:$G138)</f>
        <v/>
      </c>
      <c r="I111" s="10">
        <f>IF(COUNT('Per-Trial Conf'!$E138:$G138)&gt;1,STDEV('Per-Trial Conf'!$E138:$G138)/SQRT(COUNT('Per-Trial Conf'!$E138:$G138)),0)</f>
        <v/>
      </c>
      <c r="J111" s="10">
        <f>AVERAGE('Per-Trial Conf'!$H138:$J138)</f>
        <v/>
      </c>
      <c r="K111" s="10">
        <f>IF(COUNT('Per-Trial Conf'!$H138:$J138)&gt;1,STDEV('Per-Trial Conf'!$H138:$J138)/SQRT(COUNT('Per-Trial Conf'!$H138:$J138)),0)</f>
        <v/>
      </c>
    </row>
    <row r="112">
      <c r="A112" s="6" t="n"/>
      <c r="B112" s="6" t="n"/>
      <c r="C112" s="6" t="inlineStr">
        <is>
          <t>SUM</t>
        </is>
      </c>
      <c r="D112" s="12" t="n"/>
      <c r="E112" s="12" t="n"/>
      <c r="F112" s="12">
        <f>SUM(F110:F111)</f>
        <v/>
      </c>
      <c r="G112" s="12">
        <f>SUM(G110:G111)</f>
        <v/>
      </c>
      <c r="H112" s="12">
        <f>SUM(H110:H111)</f>
        <v/>
      </c>
      <c r="I112" s="12" t="n"/>
      <c r="J112" s="12">
        <f>SUM(J110:J111)</f>
        <v/>
      </c>
      <c r="K112" s="12" t="n"/>
    </row>
    <row r="113">
      <c r="A113" s="6" t="n"/>
      <c r="B113" s="6" t="n"/>
      <c r="C113" s="6" t="inlineStr">
        <is>
          <t>ensemble charge</t>
        </is>
      </c>
      <c r="D113" s="12" t="n"/>
      <c r="E113" s="12" t="n"/>
      <c r="F113" s="12" t="n"/>
      <c r="G113" s="12">
        <f>SUMPRODUCT($D110:$D111,G110:G111)</f>
        <v/>
      </c>
      <c r="H113" s="12">
        <f>SUMPRODUCT($D110:$D111,H110:H111)</f>
        <v/>
      </c>
      <c r="I113" s="12" t="n"/>
      <c r="J113" s="12">
        <f>SUMPRODUCT($D110:$D111,J110:J111)</f>
        <v/>
      </c>
      <c r="K113" s="12" t="n"/>
    </row>
    <row r="115">
      <c r="A115" s="7" t="n"/>
      <c r="B115" s="8" t="inlineStr">
        <is>
          <t>DDR1</t>
        </is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3" t="inlineStr">
        <is>
          <t>3ZOS</t>
        </is>
      </c>
      <c r="B116" s="3" t="inlineStr">
        <is>
          <t>Ponatinib</t>
        </is>
      </c>
      <c r="C116" s="3" t="inlineStr">
        <is>
          <t>0LI+1</t>
        </is>
      </c>
      <c r="D116" s="10">
        <f>'Per-Trial Conf'!$D68</f>
        <v/>
      </c>
      <c r="E116" s="10">
        <f>IF(H116&gt;0,-$B$3*LN(H116),"")</f>
        <v/>
      </c>
      <c r="F116" s="10">
        <f>IF(E116="","",EXP(-E116/$B$3))</f>
        <v/>
      </c>
      <c r="G116" s="10">
        <f>IF(F116="","",F116/SUM(F$116:F$118))</f>
        <v/>
      </c>
      <c r="H116" s="10">
        <f>AVERAGE('Per-Trial Conf'!$E68:$G68)</f>
        <v/>
      </c>
      <c r="I116" s="10">
        <f>IF(COUNT('Per-Trial Conf'!$E68:$G68)&gt;1,STDEV('Per-Trial Conf'!$E68:$G68)/SQRT(COUNT('Per-Trial Conf'!$E68:$G68)),0)</f>
        <v/>
      </c>
      <c r="J116" s="10">
        <f>AVERAGE('Per-Trial Conf'!$H68:$J68)</f>
        <v/>
      </c>
      <c r="K116" s="10">
        <f>IF(COUNT('Per-Trial Conf'!$H68:$J68)&gt;1,STDEV('Per-Trial Conf'!$H68:$J68)/SQRT(COUNT('Per-Trial Conf'!$H68:$J68)),0)</f>
        <v/>
      </c>
    </row>
    <row r="117">
      <c r="A117" s="3" t="inlineStr">
        <is>
          <t>3ZOS</t>
        </is>
      </c>
      <c r="B117" s="3" t="inlineStr">
        <is>
          <t>Ponatinib</t>
        </is>
      </c>
      <c r="C117" s="3" t="inlineStr">
        <is>
          <t>0LI+2</t>
        </is>
      </c>
      <c r="D117" s="10">
        <f>'Per-Trial Conf'!$D69</f>
        <v/>
      </c>
      <c r="E117" s="10">
        <f>IF(H117&gt;0,-$B$3*LN(H117),"")</f>
        <v/>
      </c>
      <c r="F117" s="10">
        <f>IF(E117="","",EXP(-E117/$B$3))</f>
        <v/>
      </c>
      <c r="G117" s="10">
        <f>IF(F117="","",F117/SUM(F$116:F$118))</f>
        <v/>
      </c>
      <c r="H117" s="10">
        <f>AVERAGE('Per-Trial Conf'!$E69:$G69)</f>
        <v/>
      </c>
      <c r="I117" s="10">
        <f>IF(COUNT('Per-Trial Conf'!$E69:$G69)&gt;1,STDEV('Per-Trial Conf'!$E69:$G69)/SQRT(COUNT('Per-Trial Conf'!$E69:$G69)),0)</f>
        <v/>
      </c>
      <c r="J117" s="10">
        <f>AVERAGE('Per-Trial Conf'!$H69:$J69)</f>
        <v/>
      </c>
      <c r="K117" s="10">
        <f>IF(COUNT('Per-Trial Conf'!$H69:$J69)&gt;1,STDEV('Per-Trial Conf'!$H69:$J69)/SQRT(COUNT('Per-Trial Conf'!$H69:$J69)),0)</f>
        <v/>
      </c>
    </row>
    <row r="118">
      <c r="A118" s="3" t="inlineStr">
        <is>
          <t>3ZOS</t>
        </is>
      </c>
      <c r="B118" s="3" t="inlineStr">
        <is>
          <t>Ponatinib</t>
        </is>
      </c>
      <c r="C118" s="3" t="inlineStr">
        <is>
          <t>0LI01</t>
        </is>
      </c>
      <c r="D118" s="10">
        <f>'Per-Trial Conf'!$D70</f>
        <v/>
      </c>
      <c r="E118" s="10">
        <f>IF(H118&gt;0,-$B$3*LN(H118),"")</f>
        <v/>
      </c>
      <c r="F118" s="10">
        <f>IF(E118="","",EXP(-E118/$B$3))</f>
        <v/>
      </c>
      <c r="G118" s="10">
        <f>IF(F118="","",F118/SUM(F$116:F$118))</f>
        <v/>
      </c>
      <c r="H118" s="10">
        <f>AVERAGE('Per-Trial Conf'!$E70:$G70)</f>
        <v/>
      </c>
      <c r="I118" s="10">
        <f>IF(COUNT('Per-Trial Conf'!$E70:$G70)&gt;1,STDEV('Per-Trial Conf'!$E70:$G70)/SQRT(COUNT('Per-Trial Conf'!$E70:$G70)),0)</f>
        <v/>
      </c>
      <c r="J118" s="10">
        <f>AVERAGE('Per-Trial Conf'!$H70:$J70)</f>
        <v/>
      </c>
      <c r="K118" s="10">
        <f>IF(COUNT('Per-Trial Conf'!$H70:$J70)&gt;1,STDEV('Per-Trial Conf'!$H70:$J70)/SQRT(COUNT('Per-Trial Conf'!$H70:$J70)),0)</f>
        <v/>
      </c>
    </row>
    <row r="119">
      <c r="A119" s="6" t="n"/>
      <c r="B119" s="6" t="n"/>
      <c r="C119" s="6" t="inlineStr">
        <is>
          <t>SUM</t>
        </is>
      </c>
      <c r="D119" s="12" t="n"/>
      <c r="E119" s="12" t="n"/>
      <c r="F119" s="12">
        <f>SUM(F116:F118)</f>
        <v/>
      </c>
      <c r="G119" s="12">
        <f>SUM(G116:G118)</f>
        <v/>
      </c>
      <c r="H119" s="12">
        <f>SUM(H116:H118)</f>
        <v/>
      </c>
      <c r="I119" s="12" t="n"/>
      <c r="J119" s="12">
        <f>SUM(J116:J118)</f>
        <v/>
      </c>
      <c r="K119" s="12" t="n"/>
    </row>
    <row r="120">
      <c r="A120" s="6" t="n"/>
      <c r="B120" s="6" t="n"/>
      <c r="C120" s="6" t="inlineStr">
        <is>
          <t>ensemble charge</t>
        </is>
      </c>
      <c r="D120" s="12" t="n"/>
      <c r="E120" s="12" t="n"/>
      <c r="F120" s="12" t="n"/>
      <c r="G120" s="12">
        <f>SUMPRODUCT($D116:$D118,G116:G118)</f>
        <v/>
      </c>
      <c r="H120" s="12">
        <f>SUMPRODUCT($D116:$D118,H116:H118)</f>
        <v/>
      </c>
      <c r="I120" s="12" t="n"/>
      <c r="J120" s="12">
        <f>SUMPRODUCT($D116:$D118,J116:J118)</f>
        <v/>
      </c>
      <c r="K120" s="12" t="n"/>
    </row>
    <row r="122">
      <c r="A122" s="7" t="n"/>
      <c r="B122" s="8" t="inlineStr">
        <is>
          <t>EGFR</t>
        </is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3" t="inlineStr">
        <is>
          <t>4G5J</t>
        </is>
      </c>
      <c r="B123" s="3" t="inlineStr">
        <is>
          <t>Afatinib</t>
        </is>
      </c>
      <c r="C123" s="3" t="inlineStr">
        <is>
          <t>0WN+1</t>
        </is>
      </c>
      <c r="D123" s="10">
        <f>'Per-Trial Conf'!$D96</f>
        <v/>
      </c>
      <c r="E123" s="10">
        <f>IF(H123&gt;0,-$B$3*LN(H123),"")</f>
        <v/>
      </c>
      <c r="F123" s="10">
        <f>IF(E123="","",EXP(-E123/$B$3))</f>
        <v/>
      </c>
      <c r="G123" s="10">
        <f>IF(F123="","",F123/SUM(F$123:F$125))</f>
        <v/>
      </c>
      <c r="H123" s="10">
        <f>AVERAGE('Per-Trial Conf'!$E96:$G96)</f>
        <v/>
      </c>
      <c r="I123" s="10">
        <f>IF(COUNT('Per-Trial Conf'!$E96:$G96)&gt;1,STDEV('Per-Trial Conf'!$E96:$G96)/SQRT(COUNT('Per-Trial Conf'!$E96:$G96)),0)</f>
        <v/>
      </c>
      <c r="J123" s="10">
        <f>AVERAGE('Per-Trial Conf'!$H96:$J96)</f>
        <v/>
      </c>
      <c r="K123" s="10">
        <f>IF(COUNT('Per-Trial Conf'!$H96:$J96)&gt;1,STDEV('Per-Trial Conf'!$H96:$J96)/SQRT(COUNT('Per-Trial Conf'!$H96:$J96)),0)</f>
        <v/>
      </c>
    </row>
    <row r="124">
      <c r="A124" s="3" t="inlineStr">
        <is>
          <t>4G5J</t>
        </is>
      </c>
      <c r="B124" s="3" t="inlineStr">
        <is>
          <t>Afatinib</t>
        </is>
      </c>
      <c r="C124" s="3" t="inlineStr">
        <is>
          <t>0WN+a</t>
        </is>
      </c>
      <c r="D124" s="10">
        <f>'Per-Trial Conf'!$D97</f>
        <v/>
      </c>
      <c r="E124" s="10">
        <f>IF(H124&gt;0,-$B$3*LN(H124),"")</f>
        <v/>
      </c>
      <c r="F124" s="10">
        <f>IF(E124="","",EXP(-E124/$B$3))</f>
        <v/>
      </c>
      <c r="G124" s="10">
        <f>IF(F124="","",F124/SUM(F$123:F$125))</f>
        <v/>
      </c>
      <c r="H124" s="10">
        <f>AVERAGE('Per-Trial Conf'!$E97:$G97)</f>
        <v/>
      </c>
      <c r="I124" s="10">
        <f>IF(COUNT('Per-Trial Conf'!$E97:$G97)&gt;1,STDEV('Per-Trial Conf'!$E97:$G97)/SQRT(COUNT('Per-Trial Conf'!$E97:$G97)),0)</f>
        <v/>
      </c>
      <c r="J124" s="10">
        <f>AVERAGE('Per-Trial Conf'!$H97:$J97)</f>
        <v/>
      </c>
      <c r="K124" s="10">
        <f>IF(COUNT('Per-Trial Conf'!$H97:$J97)&gt;1,STDEV('Per-Trial Conf'!$H97:$J97)/SQRT(COUNT('Per-Trial Conf'!$H97:$J97)),0)</f>
        <v/>
      </c>
    </row>
    <row r="125">
      <c r="A125" s="3" t="inlineStr">
        <is>
          <t>4G5J</t>
        </is>
      </c>
      <c r="B125" s="3" t="inlineStr">
        <is>
          <t>Afatinib</t>
        </is>
      </c>
      <c r="C125" s="3" t="inlineStr">
        <is>
          <t>0WN01</t>
        </is>
      </c>
      <c r="D125" s="10">
        <f>'Per-Trial Conf'!$D98</f>
        <v/>
      </c>
      <c r="E125" s="10">
        <f>IF(H125&gt;0,-$B$3*LN(H125),"")</f>
        <v/>
      </c>
      <c r="F125" s="10">
        <f>IF(E125="","",EXP(-E125/$B$3))</f>
        <v/>
      </c>
      <c r="G125" s="10">
        <f>IF(F125="","",F125/SUM(F$123:F$125))</f>
        <v/>
      </c>
      <c r="H125" s="10">
        <f>AVERAGE('Per-Trial Conf'!$E98:$G98)</f>
        <v/>
      </c>
      <c r="I125" s="10">
        <f>IF(COUNT('Per-Trial Conf'!$E98:$G98)&gt;1,STDEV('Per-Trial Conf'!$E98:$G98)/SQRT(COUNT('Per-Trial Conf'!$E98:$G98)),0)</f>
        <v/>
      </c>
      <c r="J125" s="10">
        <f>AVERAGE('Per-Trial Conf'!$H98:$J98)</f>
        <v/>
      </c>
      <c r="K125" s="10">
        <f>IF(COUNT('Per-Trial Conf'!$H98:$J98)&gt;1,STDEV('Per-Trial Conf'!$H98:$J98)/SQRT(COUNT('Per-Trial Conf'!$H98:$J98)),0)</f>
        <v/>
      </c>
    </row>
    <row r="126">
      <c r="A126" s="6" t="n"/>
      <c r="B126" s="6" t="n"/>
      <c r="C126" s="6" t="inlineStr">
        <is>
          <t>SUM</t>
        </is>
      </c>
      <c r="D126" s="12" t="n"/>
      <c r="E126" s="12" t="n"/>
      <c r="F126" s="12">
        <f>SUM(F123:F125)</f>
        <v/>
      </c>
      <c r="G126" s="12">
        <f>SUM(G123:G125)</f>
        <v/>
      </c>
      <c r="H126" s="12">
        <f>SUM(H123:H125)</f>
        <v/>
      </c>
      <c r="I126" s="12" t="n"/>
      <c r="J126" s="12">
        <f>SUM(J123:J125)</f>
        <v/>
      </c>
      <c r="K126" s="12" t="n"/>
    </row>
    <row r="127">
      <c r="A127" s="6" t="n"/>
      <c r="B127" s="6" t="n"/>
      <c r="C127" s="6" t="inlineStr">
        <is>
          <t>ensemble charge</t>
        </is>
      </c>
      <c r="D127" s="12" t="n"/>
      <c r="E127" s="12" t="n"/>
      <c r="F127" s="12" t="n"/>
      <c r="G127" s="12">
        <f>SUMPRODUCT($D123:$D125,G123:G125)</f>
        <v/>
      </c>
      <c r="H127" s="12">
        <f>SUMPRODUCT($D123:$D125,H123:H125)</f>
        <v/>
      </c>
      <c r="I127" s="12" t="n"/>
      <c r="J127" s="12">
        <f>SUMPRODUCT($D123:$D125,J123:J125)</f>
        <v/>
      </c>
      <c r="K127" s="12" t="n"/>
    </row>
    <row r="129">
      <c r="A129" s="3" t="inlineStr">
        <is>
          <t>4G5P</t>
        </is>
      </c>
      <c r="B129" s="3" t="inlineStr">
        <is>
          <t>Afatinib</t>
        </is>
      </c>
      <c r="C129" s="3" t="inlineStr">
        <is>
          <t>0WN+1</t>
        </is>
      </c>
      <c r="D129" s="10">
        <f>'Per-Trial Conf'!$D99</f>
        <v/>
      </c>
      <c r="E129" s="10">
        <f>IF(H129&gt;0,-$B$3*LN(H129),"")</f>
        <v/>
      </c>
      <c r="F129" s="10">
        <f>IF(E129="","",EXP(-E129/$B$3))</f>
        <v/>
      </c>
      <c r="G129" s="10">
        <f>IF(F129="","",F129/SUM(F$129:F$131))</f>
        <v/>
      </c>
      <c r="H129" s="10">
        <f>AVERAGE('Per-Trial Conf'!$E99:$G99)</f>
        <v/>
      </c>
      <c r="I129" s="10">
        <f>IF(COUNT('Per-Trial Conf'!$E99:$G99)&gt;1,STDEV('Per-Trial Conf'!$E99:$G99)/SQRT(COUNT('Per-Trial Conf'!$E99:$G99)),0)</f>
        <v/>
      </c>
      <c r="J129" s="10">
        <f>AVERAGE('Per-Trial Conf'!$H99:$J99)</f>
        <v/>
      </c>
      <c r="K129" s="10">
        <f>IF(COUNT('Per-Trial Conf'!$H99:$J99)&gt;1,STDEV('Per-Trial Conf'!$H99:$J99)/SQRT(COUNT('Per-Trial Conf'!$H99:$J99)),0)</f>
        <v/>
      </c>
    </row>
    <row r="130">
      <c r="A130" s="3" t="inlineStr">
        <is>
          <t>4G5P</t>
        </is>
      </c>
      <c r="B130" s="3" t="inlineStr">
        <is>
          <t>Afatinib</t>
        </is>
      </c>
      <c r="C130" s="3" t="inlineStr">
        <is>
          <t>0WN+a</t>
        </is>
      </c>
      <c r="D130" s="10">
        <f>'Per-Trial Conf'!$D100</f>
        <v/>
      </c>
      <c r="E130" s="10">
        <f>IF(H130&gt;0,-$B$3*LN(H130),"")</f>
        <v/>
      </c>
      <c r="F130" s="10">
        <f>IF(E130="","",EXP(-E130/$B$3))</f>
        <v/>
      </c>
      <c r="G130" s="10">
        <f>IF(F130="","",F130/SUM(F$129:F$131))</f>
        <v/>
      </c>
      <c r="H130" s="10">
        <f>AVERAGE('Per-Trial Conf'!$E100:$G100)</f>
        <v/>
      </c>
      <c r="I130" s="10">
        <f>IF(COUNT('Per-Trial Conf'!$E100:$G100)&gt;1,STDEV('Per-Trial Conf'!$E100:$G100)/SQRT(COUNT('Per-Trial Conf'!$E100:$G100)),0)</f>
        <v/>
      </c>
      <c r="J130" s="10">
        <f>AVERAGE('Per-Trial Conf'!$H100:$J100)</f>
        <v/>
      </c>
      <c r="K130" s="10">
        <f>IF(COUNT('Per-Trial Conf'!$H100:$J100)&gt;1,STDEV('Per-Trial Conf'!$H100:$J100)/SQRT(COUNT('Per-Trial Conf'!$H100:$J100)),0)</f>
        <v/>
      </c>
    </row>
    <row r="131">
      <c r="A131" s="3" t="inlineStr">
        <is>
          <t>4G5P</t>
        </is>
      </c>
      <c r="B131" s="3" t="inlineStr">
        <is>
          <t>Afatinib</t>
        </is>
      </c>
      <c r="C131" s="3" t="inlineStr">
        <is>
          <t>0WN01</t>
        </is>
      </c>
      <c r="D131" s="10">
        <f>'Per-Trial Conf'!$D101</f>
        <v/>
      </c>
      <c r="E131" s="10">
        <f>IF(H131&gt;0,-$B$3*LN(H131),"")</f>
        <v/>
      </c>
      <c r="F131" s="10">
        <f>IF(E131="","",EXP(-E131/$B$3))</f>
        <v/>
      </c>
      <c r="G131" s="10">
        <f>IF(F131="","",F131/SUM(F$129:F$131))</f>
        <v/>
      </c>
      <c r="H131" s="10">
        <f>AVERAGE('Per-Trial Conf'!$E101:$G101)</f>
        <v/>
      </c>
      <c r="I131" s="10">
        <f>IF(COUNT('Per-Trial Conf'!$E101:$G101)&gt;1,STDEV('Per-Trial Conf'!$E101:$G101)/SQRT(COUNT('Per-Trial Conf'!$E101:$G101)),0)</f>
        <v/>
      </c>
      <c r="J131" s="10">
        <f>AVERAGE('Per-Trial Conf'!$H101:$J101)</f>
        <v/>
      </c>
      <c r="K131" s="10">
        <f>IF(COUNT('Per-Trial Conf'!$H101:$J101)&gt;1,STDEV('Per-Trial Conf'!$H101:$J101)/SQRT(COUNT('Per-Trial Conf'!$H101:$J101)),0)</f>
        <v/>
      </c>
    </row>
    <row r="132">
      <c r="A132" s="6" t="n"/>
      <c r="B132" s="6" t="n"/>
      <c r="C132" s="6" t="inlineStr">
        <is>
          <t>SUM</t>
        </is>
      </c>
      <c r="D132" s="12" t="n"/>
      <c r="E132" s="12" t="n"/>
      <c r="F132" s="12">
        <f>SUM(F129:F131)</f>
        <v/>
      </c>
      <c r="G132" s="12">
        <f>SUM(G129:G131)</f>
        <v/>
      </c>
      <c r="H132" s="12">
        <f>SUM(H129:H131)</f>
        <v/>
      </c>
      <c r="I132" s="12" t="n"/>
      <c r="J132" s="12">
        <f>SUM(J129:J131)</f>
        <v/>
      </c>
      <c r="K132" s="12" t="n"/>
    </row>
    <row r="133">
      <c r="A133" s="6" t="n"/>
      <c r="B133" s="6" t="n"/>
      <c r="C133" s="6" t="inlineStr">
        <is>
          <t>ensemble charge</t>
        </is>
      </c>
      <c r="D133" s="12" t="n"/>
      <c r="E133" s="12" t="n"/>
      <c r="F133" s="12" t="n"/>
      <c r="G133" s="12">
        <f>SUMPRODUCT($D129:$D131,G129:G131)</f>
        <v/>
      </c>
      <c r="H133" s="12">
        <f>SUMPRODUCT($D129:$D131,H129:H131)</f>
        <v/>
      </c>
      <c r="I133" s="12" t="n"/>
      <c r="J133" s="12">
        <f>SUMPRODUCT($D129:$D131,J129:J131)</f>
        <v/>
      </c>
      <c r="K133" s="12" t="n"/>
    </row>
    <row r="135">
      <c r="A135" s="3" t="inlineStr">
        <is>
          <t>2ITO</t>
        </is>
      </c>
      <c r="B135" s="3" t="inlineStr">
        <is>
          <t>Gefitinib</t>
        </is>
      </c>
      <c r="C135" s="3" t="inlineStr">
        <is>
          <t>IRE+1</t>
        </is>
      </c>
      <c r="D135" s="10">
        <f>'Per-Trial Conf'!$D13</f>
        <v/>
      </c>
      <c r="E135" s="10">
        <f>IF(H135&gt;0,-$B$3*LN(H135),"")</f>
        <v/>
      </c>
      <c r="F135" s="10">
        <f>IF(E135="","",EXP(-E135/$B$3))</f>
        <v/>
      </c>
      <c r="G135" s="10">
        <f>IF(F135="","",F135/SUM(F$135:F$139))</f>
        <v/>
      </c>
      <c r="H135" s="10">
        <f>AVERAGE('Per-Trial Conf'!$E13:$G13)</f>
        <v/>
      </c>
      <c r="I135" s="10">
        <f>IF(COUNT('Per-Trial Conf'!$E13:$G13)&gt;1,STDEV('Per-Trial Conf'!$E13:$G13)/SQRT(COUNT('Per-Trial Conf'!$E13:$G13)),0)</f>
        <v/>
      </c>
      <c r="J135" s="10">
        <f>AVERAGE('Per-Trial Conf'!$H13:$J13)</f>
        <v/>
      </c>
      <c r="K135" s="10">
        <f>IF(COUNT('Per-Trial Conf'!$H13:$J13)&gt;1,STDEV('Per-Trial Conf'!$H13:$J13)/SQRT(COUNT('Per-Trial Conf'!$H13:$J13)),0)</f>
        <v/>
      </c>
    </row>
    <row r="136">
      <c r="A136" s="3" t="inlineStr">
        <is>
          <t>2ITO</t>
        </is>
      </c>
      <c r="B136" s="3" t="inlineStr">
        <is>
          <t>Gefitinib</t>
        </is>
      </c>
      <c r="C136" s="3" t="inlineStr">
        <is>
          <t>IRE+2</t>
        </is>
      </c>
      <c r="D136" s="10">
        <f>'Per-Trial Conf'!$D14</f>
        <v/>
      </c>
      <c r="E136" s="10">
        <f>IF(H136&gt;0,-$B$3*LN(H136),"")</f>
        <v/>
      </c>
      <c r="F136" s="10">
        <f>IF(E136="","",EXP(-E136/$B$3))</f>
        <v/>
      </c>
      <c r="G136" s="10">
        <f>IF(F136="","",F136/SUM(F$135:F$139))</f>
        <v/>
      </c>
      <c r="H136" s="10">
        <f>AVERAGE('Per-Trial Conf'!$E14:$G14)</f>
        <v/>
      </c>
      <c r="I136" s="10">
        <f>IF(COUNT('Per-Trial Conf'!$E14:$G14)&gt;1,STDEV('Per-Trial Conf'!$E14:$G14)/SQRT(COUNT('Per-Trial Conf'!$E14:$G14)),0)</f>
        <v/>
      </c>
      <c r="J136" s="10">
        <f>AVERAGE('Per-Trial Conf'!$H14:$J14)</f>
        <v/>
      </c>
      <c r="K136" s="10">
        <f>IF(COUNT('Per-Trial Conf'!$H14:$J14)&gt;1,STDEV('Per-Trial Conf'!$H14:$J14)/SQRT(COUNT('Per-Trial Conf'!$H14:$J14)),0)</f>
        <v/>
      </c>
    </row>
    <row r="137">
      <c r="A137" s="3" t="inlineStr">
        <is>
          <t>2ITO</t>
        </is>
      </c>
      <c r="B137" s="3" t="inlineStr">
        <is>
          <t>Gefitinib</t>
        </is>
      </c>
      <c r="C137" s="3" t="inlineStr">
        <is>
          <t>IRE+3</t>
        </is>
      </c>
      <c r="D137" s="10">
        <f>'Per-Trial Conf'!$D15</f>
        <v/>
      </c>
      <c r="E137" s="10">
        <f>IF(H137&gt;0,-$B$3*LN(H137),"")</f>
        <v/>
      </c>
      <c r="F137" s="10">
        <f>IF(E137="","",EXP(-E137/$B$3))</f>
        <v/>
      </c>
      <c r="G137" s="10">
        <f>IF(F137="","",F137/SUM(F$135:F$139))</f>
        <v/>
      </c>
      <c r="H137" s="10">
        <f>AVERAGE('Per-Trial Conf'!$E15:$G15)</f>
        <v/>
      </c>
      <c r="I137" s="10">
        <f>IF(COUNT('Per-Trial Conf'!$E15:$G15)&gt;1,STDEV('Per-Trial Conf'!$E15:$G15)/SQRT(COUNT('Per-Trial Conf'!$E15:$G15)),0)</f>
        <v/>
      </c>
      <c r="J137" s="10">
        <f>AVERAGE('Per-Trial Conf'!$H15:$J15)</f>
        <v/>
      </c>
      <c r="K137" s="10">
        <f>IF(COUNT('Per-Trial Conf'!$H15:$J15)&gt;1,STDEV('Per-Trial Conf'!$H15:$J15)/SQRT(COUNT('Per-Trial Conf'!$H15:$J15)),0)</f>
        <v/>
      </c>
    </row>
    <row r="138">
      <c r="A138" s="3" t="inlineStr">
        <is>
          <t>2ITO</t>
        </is>
      </c>
      <c r="B138" s="3" t="inlineStr">
        <is>
          <t>Gefitinib</t>
        </is>
      </c>
      <c r="C138" s="3" t="inlineStr">
        <is>
          <t>IRE+a</t>
        </is>
      </c>
      <c r="D138" s="10">
        <f>'Per-Trial Conf'!$D16</f>
        <v/>
      </c>
      <c r="E138" s="10">
        <f>IF(H138&gt;0,-$B$3*LN(H138),"")</f>
        <v/>
      </c>
      <c r="F138" s="10">
        <f>IF(E138="","",EXP(-E138/$B$3))</f>
        <v/>
      </c>
      <c r="G138" s="10">
        <f>IF(F138="","",F138/SUM(F$135:F$139))</f>
        <v/>
      </c>
      <c r="H138" s="10">
        <f>AVERAGE('Per-Trial Conf'!$E16:$G16)</f>
        <v/>
      </c>
      <c r="I138" s="10">
        <f>IF(COUNT('Per-Trial Conf'!$E16:$G16)&gt;1,STDEV('Per-Trial Conf'!$E16:$G16)/SQRT(COUNT('Per-Trial Conf'!$E16:$G16)),0)</f>
        <v/>
      </c>
      <c r="J138" s="10">
        <f>AVERAGE('Per-Trial Conf'!$H16:$J16)</f>
        <v/>
      </c>
      <c r="K138" s="10">
        <f>IF(COUNT('Per-Trial Conf'!$H16:$J16)&gt;1,STDEV('Per-Trial Conf'!$H16:$J16)/SQRT(COUNT('Per-Trial Conf'!$H16:$J16)),0)</f>
        <v/>
      </c>
    </row>
    <row r="139">
      <c r="A139" s="3" t="inlineStr">
        <is>
          <t>2ITO</t>
        </is>
      </c>
      <c r="B139" s="3" t="inlineStr">
        <is>
          <t>Gefitinib</t>
        </is>
      </c>
      <c r="C139" s="3" t="inlineStr">
        <is>
          <t>IRE01</t>
        </is>
      </c>
      <c r="D139" s="10">
        <f>'Per-Trial Conf'!$D17</f>
        <v/>
      </c>
      <c r="E139" s="10">
        <f>IF(H139&gt;0,-$B$3*LN(H139),"")</f>
        <v/>
      </c>
      <c r="F139" s="10">
        <f>IF(E139="","",EXP(-E139/$B$3))</f>
        <v/>
      </c>
      <c r="G139" s="10">
        <f>IF(F139="","",F139/SUM(F$135:F$139))</f>
        <v/>
      </c>
      <c r="H139" s="10">
        <f>AVERAGE('Per-Trial Conf'!$E17:$G17)</f>
        <v/>
      </c>
      <c r="I139" s="10">
        <f>IF(COUNT('Per-Trial Conf'!$E17:$G17)&gt;1,STDEV('Per-Trial Conf'!$E17:$G17)/SQRT(COUNT('Per-Trial Conf'!$E17:$G17)),0)</f>
        <v/>
      </c>
      <c r="J139" s="10">
        <f>AVERAGE('Per-Trial Conf'!$H17:$J17)</f>
        <v/>
      </c>
      <c r="K139" s="10">
        <f>IF(COUNT('Per-Trial Conf'!$H17:$J17)&gt;1,STDEV('Per-Trial Conf'!$H17:$J17)/SQRT(COUNT('Per-Trial Conf'!$H17:$J17)),0)</f>
        <v/>
      </c>
    </row>
    <row r="140">
      <c r="A140" s="6" t="n"/>
      <c r="B140" s="6" t="n"/>
      <c r="C140" s="6" t="inlineStr">
        <is>
          <t>SUM</t>
        </is>
      </c>
      <c r="D140" s="12" t="n"/>
      <c r="E140" s="12" t="n"/>
      <c r="F140" s="12">
        <f>SUM(F135:F139)</f>
        <v/>
      </c>
      <c r="G140" s="12">
        <f>SUM(G135:G139)</f>
        <v/>
      </c>
      <c r="H140" s="12">
        <f>SUM(H135:H139)</f>
        <v/>
      </c>
      <c r="I140" s="12" t="n"/>
      <c r="J140" s="12">
        <f>SUM(J135:J139)</f>
        <v/>
      </c>
      <c r="K140" s="12" t="n"/>
    </row>
    <row r="141">
      <c r="A141" s="6" t="n"/>
      <c r="B141" s="6" t="n"/>
      <c r="C141" s="6" t="inlineStr">
        <is>
          <t>ensemble charge</t>
        </is>
      </c>
      <c r="D141" s="12" t="n"/>
      <c r="E141" s="12" t="n"/>
      <c r="F141" s="12" t="n"/>
      <c r="G141" s="12">
        <f>SUMPRODUCT($D135:$D139,G135:G139)</f>
        <v/>
      </c>
      <c r="H141" s="12">
        <f>SUMPRODUCT($D135:$D139,H135:H139)</f>
        <v/>
      </c>
      <c r="I141" s="12" t="n"/>
      <c r="J141" s="12">
        <f>SUMPRODUCT($D135:$D139,J135:J139)</f>
        <v/>
      </c>
      <c r="K141" s="12" t="n"/>
    </row>
    <row r="143">
      <c r="A143" s="3" t="inlineStr">
        <is>
          <t>2ITY</t>
        </is>
      </c>
      <c r="B143" s="3" t="inlineStr">
        <is>
          <t>Gefitinib</t>
        </is>
      </c>
      <c r="C143" s="3" t="inlineStr">
        <is>
          <t>IRE+1</t>
        </is>
      </c>
      <c r="D143" s="10">
        <f>'Per-Trial Conf'!$D18</f>
        <v/>
      </c>
      <c r="E143" s="10">
        <f>IF(H143&gt;0,-$B$3*LN(H143),"")</f>
        <v/>
      </c>
      <c r="F143" s="10">
        <f>IF(E143="","",EXP(-E143/$B$3))</f>
        <v/>
      </c>
      <c r="G143" s="10">
        <f>IF(F143="","",F143/SUM(F$143:F$147))</f>
        <v/>
      </c>
      <c r="H143" s="10">
        <f>AVERAGE('Per-Trial Conf'!$E18:$G18)</f>
        <v/>
      </c>
      <c r="I143" s="10">
        <f>IF(COUNT('Per-Trial Conf'!$E18:$G18)&gt;1,STDEV('Per-Trial Conf'!$E18:$G18)/SQRT(COUNT('Per-Trial Conf'!$E18:$G18)),0)</f>
        <v/>
      </c>
      <c r="J143" s="10">
        <f>AVERAGE('Per-Trial Conf'!$H18:$J18)</f>
        <v/>
      </c>
      <c r="K143" s="10">
        <f>IF(COUNT('Per-Trial Conf'!$H18:$J18)&gt;1,STDEV('Per-Trial Conf'!$H18:$J18)/SQRT(COUNT('Per-Trial Conf'!$H18:$J18)),0)</f>
        <v/>
      </c>
    </row>
    <row r="144">
      <c r="A144" s="3" t="inlineStr">
        <is>
          <t>2ITY</t>
        </is>
      </c>
      <c r="B144" s="3" t="inlineStr">
        <is>
          <t>Gefitinib</t>
        </is>
      </c>
      <c r="C144" s="3" t="inlineStr">
        <is>
          <t>IRE+2</t>
        </is>
      </c>
      <c r="D144" s="10">
        <f>'Per-Trial Conf'!$D19</f>
        <v/>
      </c>
      <c r="E144" s="10">
        <f>IF(H144&gt;0,-$B$3*LN(H144),"")</f>
        <v/>
      </c>
      <c r="F144" s="10">
        <f>IF(E144="","",EXP(-E144/$B$3))</f>
        <v/>
      </c>
      <c r="G144" s="10">
        <f>IF(F144="","",F144/SUM(F$143:F$147))</f>
        <v/>
      </c>
      <c r="H144" s="10">
        <f>AVERAGE('Per-Trial Conf'!$E19:$G19)</f>
        <v/>
      </c>
      <c r="I144" s="10">
        <f>IF(COUNT('Per-Trial Conf'!$E19:$G19)&gt;1,STDEV('Per-Trial Conf'!$E19:$G19)/SQRT(COUNT('Per-Trial Conf'!$E19:$G19)),0)</f>
        <v/>
      </c>
      <c r="J144" s="10">
        <f>AVERAGE('Per-Trial Conf'!$H19:$J19)</f>
        <v/>
      </c>
      <c r="K144" s="10">
        <f>IF(COUNT('Per-Trial Conf'!$H19:$J19)&gt;1,STDEV('Per-Trial Conf'!$H19:$J19)/SQRT(COUNT('Per-Trial Conf'!$H19:$J19)),0)</f>
        <v/>
      </c>
    </row>
    <row r="145">
      <c r="A145" s="3" t="inlineStr">
        <is>
          <t>2ITY</t>
        </is>
      </c>
      <c r="B145" s="3" t="inlineStr">
        <is>
          <t>Gefitinib</t>
        </is>
      </c>
      <c r="C145" s="3" t="inlineStr">
        <is>
          <t>IRE+3</t>
        </is>
      </c>
      <c r="D145" s="10">
        <f>'Per-Trial Conf'!$D20</f>
        <v/>
      </c>
      <c r="E145" s="10">
        <f>IF(H145&gt;0,-$B$3*LN(H145),"")</f>
        <v/>
      </c>
      <c r="F145" s="10">
        <f>IF(E145="","",EXP(-E145/$B$3))</f>
        <v/>
      </c>
      <c r="G145" s="10">
        <f>IF(F145="","",F145/SUM(F$143:F$147))</f>
        <v/>
      </c>
      <c r="H145" s="10">
        <f>AVERAGE('Per-Trial Conf'!$E20:$G20)</f>
        <v/>
      </c>
      <c r="I145" s="10">
        <f>IF(COUNT('Per-Trial Conf'!$E20:$G20)&gt;1,STDEV('Per-Trial Conf'!$E20:$G20)/SQRT(COUNT('Per-Trial Conf'!$E20:$G20)),0)</f>
        <v/>
      </c>
      <c r="J145" s="10">
        <f>AVERAGE('Per-Trial Conf'!$H20:$J20)</f>
        <v/>
      </c>
      <c r="K145" s="10">
        <f>IF(COUNT('Per-Trial Conf'!$H20:$J20)&gt;1,STDEV('Per-Trial Conf'!$H20:$J20)/SQRT(COUNT('Per-Trial Conf'!$H20:$J20)),0)</f>
        <v/>
      </c>
    </row>
    <row r="146">
      <c r="A146" s="3" t="inlineStr">
        <is>
          <t>2ITY</t>
        </is>
      </c>
      <c r="B146" s="3" t="inlineStr">
        <is>
          <t>Gefitinib</t>
        </is>
      </c>
      <c r="C146" s="3" t="inlineStr">
        <is>
          <t>IRE+a</t>
        </is>
      </c>
      <c r="D146" s="10">
        <f>'Per-Trial Conf'!$D21</f>
        <v/>
      </c>
      <c r="E146" s="10">
        <f>IF(H146&gt;0,-$B$3*LN(H146),"")</f>
        <v/>
      </c>
      <c r="F146" s="10">
        <f>IF(E146="","",EXP(-E146/$B$3))</f>
        <v/>
      </c>
      <c r="G146" s="10">
        <f>IF(F146="","",F146/SUM(F$143:F$147))</f>
        <v/>
      </c>
      <c r="H146" s="10">
        <f>AVERAGE('Per-Trial Conf'!$E21:$G21)</f>
        <v/>
      </c>
      <c r="I146" s="10">
        <f>IF(COUNT('Per-Trial Conf'!$E21:$G21)&gt;1,STDEV('Per-Trial Conf'!$E21:$G21)/SQRT(COUNT('Per-Trial Conf'!$E21:$G21)),0)</f>
        <v/>
      </c>
      <c r="J146" s="10">
        <f>AVERAGE('Per-Trial Conf'!$H21:$J21)</f>
        <v/>
      </c>
      <c r="K146" s="10">
        <f>IF(COUNT('Per-Trial Conf'!$H21:$J21)&gt;1,STDEV('Per-Trial Conf'!$H21:$J21)/SQRT(COUNT('Per-Trial Conf'!$H21:$J21)),0)</f>
        <v/>
      </c>
    </row>
    <row r="147">
      <c r="A147" s="3" t="inlineStr">
        <is>
          <t>2ITY</t>
        </is>
      </c>
      <c r="B147" s="3" t="inlineStr">
        <is>
          <t>Gefitinib</t>
        </is>
      </c>
      <c r="C147" s="3" t="inlineStr">
        <is>
          <t>IRE01</t>
        </is>
      </c>
      <c r="D147" s="10">
        <f>'Per-Trial Conf'!$D22</f>
        <v/>
      </c>
      <c r="E147" s="10">
        <f>IF(H147&gt;0,-$B$3*LN(H147),"")</f>
        <v/>
      </c>
      <c r="F147" s="10">
        <f>IF(E147="","",EXP(-E147/$B$3))</f>
        <v/>
      </c>
      <c r="G147" s="10">
        <f>IF(F147="","",F147/SUM(F$143:F$147))</f>
        <v/>
      </c>
      <c r="H147" s="10">
        <f>AVERAGE('Per-Trial Conf'!$E22:$G22)</f>
        <v/>
      </c>
      <c r="I147" s="10">
        <f>IF(COUNT('Per-Trial Conf'!$E22:$G22)&gt;1,STDEV('Per-Trial Conf'!$E22:$G22)/SQRT(COUNT('Per-Trial Conf'!$E22:$G22)),0)</f>
        <v/>
      </c>
      <c r="J147" s="10">
        <f>AVERAGE('Per-Trial Conf'!$H22:$J22)</f>
        <v/>
      </c>
      <c r="K147" s="10">
        <f>IF(COUNT('Per-Trial Conf'!$H22:$J22)&gt;1,STDEV('Per-Trial Conf'!$H22:$J22)/SQRT(COUNT('Per-Trial Conf'!$H22:$J22)),0)</f>
        <v/>
      </c>
    </row>
    <row r="148">
      <c r="A148" s="6" t="n"/>
      <c r="B148" s="6" t="n"/>
      <c r="C148" s="6" t="inlineStr">
        <is>
          <t>SUM</t>
        </is>
      </c>
      <c r="D148" s="12" t="n"/>
      <c r="E148" s="12" t="n"/>
      <c r="F148" s="12">
        <f>SUM(F143:F147)</f>
        <v/>
      </c>
      <c r="G148" s="12">
        <f>SUM(G143:G147)</f>
        <v/>
      </c>
      <c r="H148" s="12">
        <f>SUM(H143:H147)</f>
        <v/>
      </c>
      <c r="I148" s="12" t="n"/>
      <c r="J148" s="12">
        <f>SUM(J143:J147)</f>
        <v/>
      </c>
      <c r="K148" s="12" t="n"/>
    </row>
    <row r="149">
      <c r="A149" s="6" t="n"/>
      <c r="B149" s="6" t="n"/>
      <c r="C149" s="6" t="inlineStr">
        <is>
          <t>ensemble charge</t>
        </is>
      </c>
      <c r="D149" s="12" t="n"/>
      <c r="E149" s="12" t="n"/>
      <c r="F149" s="12" t="n"/>
      <c r="G149" s="12">
        <f>SUMPRODUCT($D143:$D147,G143:G147)</f>
        <v/>
      </c>
      <c r="H149" s="12">
        <f>SUMPRODUCT($D143:$D147,H143:H147)</f>
        <v/>
      </c>
      <c r="I149" s="12" t="n"/>
      <c r="J149" s="12">
        <f>SUMPRODUCT($D143:$D147,J143:J147)</f>
        <v/>
      </c>
      <c r="K149" s="12" t="n"/>
    </row>
    <row r="151">
      <c r="A151" s="3" t="inlineStr">
        <is>
          <t>2ITZ</t>
        </is>
      </c>
      <c r="B151" s="3" t="inlineStr">
        <is>
          <t>Gefitinib</t>
        </is>
      </c>
      <c r="C151" s="3" t="inlineStr">
        <is>
          <t>IRE+1</t>
        </is>
      </c>
      <c r="D151" s="10">
        <f>'Per-Trial Conf'!$D23</f>
        <v/>
      </c>
      <c r="E151" s="10">
        <f>IF(H151&gt;0,-$B$3*LN(H151),"")</f>
        <v/>
      </c>
      <c r="F151" s="10">
        <f>IF(E151="","",EXP(-E151/$B$3))</f>
        <v/>
      </c>
      <c r="G151" s="10">
        <f>IF(F151="","",F151/SUM(F$151:F$155))</f>
        <v/>
      </c>
      <c r="H151" s="10">
        <f>AVERAGE('Per-Trial Conf'!$E23:$G23)</f>
        <v/>
      </c>
      <c r="I151" s="10">
        <f>IF(COUNT('Per-Trial Conf'!$E23:$G23)&gt;1,STDEV('Per-Trial Conf'!$E23:$G23)/SQRT(COUNT('Per-Trial Conf'!$E23:$G23)),0)</f>
        <v/>
      </c>
      <c r="J151" s="10">
        <f>AVERAGE('Per-Trial Conf'!$H23:$J23)</f>
        <v/>
      </c>
      <c r="K151" s="10">
        <f>IF(COUNT('Per-Trial Conf'!$H23:$J23)&gt;1,STDEV('Per-Trial Conf'!$H23:$J23)/SQRT(COUNT('Per-Trial Conf'!$H23:$J23)),0)</f>
        <v/>
      </c>
    </row>
    <row r="152">
      <c r="A152" s="3" t="inlineStr">
        <is>
          <t>2ITZ</t>
        </is>
      </c>
      <c r="B152" s="3" t="inlineStr">
        <is>
          <t>Gefitinib</t>
        </is>
      </c>
      <c r="C152" s="3" t="inlineStr">
        <is>
          <t>IRE+2</t>
        </is>
      </c>
      <c r="D152" s="10">
        <f>'Per-Trial Conf'!$D24</f>
        <v/>
      </c>
      <c r="E152" s="10">
        <f>IF(H152&gt;0,-$B$3*LN(H152),"")</f>
        <v/>
      </c>
      <c r="F152" s="10">
        <f>IF(E152="","",EXP(-E152/$B$3))</f>
        <v/>
      </c>
      <c r="G152" s="10">
        <f>IF(F152="","",F152/SUM(F$151:F$155))</f>
        <v/>
      </c>
      <c r="H152" s="10">
        <f>AVERAGE('Per-Trial Conf'!$E24:$G24)</f>
        <v/>
      </c>
      <c r="I152" s="10">
        <f>IF(COUNT('Per-Trial Conf'!$E24:$G24)&gt;1,STDEV('Per-Trial Conf'!$E24:$G24)/SQRT(COUNT('Per-Trial Conf'!$E24:$G24)),0)</f>
        <v/>
      </c>
      <c r="J152" s="10">
        <f>AVERAGE('Per-Trial Conf'!$H24:$J24)</f>
        <v/>
      </c>
      <c r="K152" s="10">
        <f>IF(COUNT('Per-Trial Conf'!$H24:$J24)&gt;1,STDEV('Per-Trial Conf'!$H24:$J24)/SQRT(COUNT('Per-Trial Conf'!$H24:$J24)),0)</f>
        <v/>
      </c>
    </row>
    <row r="153">
      <c r="A153" s="3" t="inlineStr">
        <is>
          <t>2ITZ</t>
        </is>
      </c>
      <c r="B153" s="3" t="inlineStr">
        <is>
          <t>Gefitinib</t>
        </is>
      </c>
      <c r="C153" s="3" t="inlineStr">
        <is>
          <t>IRE+3</t>
        </is>
      </c>
      <c r="D153" s="10">
        <f>'Per-Trial Conf'!$D25</f>
        <v/>
      </c>
      <c r="E153" s="10">
        <f>IF(H153&gt;0,-$B$3*LN(H153),"")</f>
        <v/>
      </c>
      <c r="F153" s="10">
        <f>IF(E153="","",EXP(-E153/$B$3))</f>
        <v/>
      </c>
      <c r="G153" s="10">
        <f>IF(F153="","",F153/SUM(F$151:F$155))</f>
        <v/>
      </c>
      <c r="H153" s="10">
        <f>AVERAGE('Per-Trial Conf'!$E25:$G25)</f>
        <v/>
      </c>
      <c r="I153" s="10">
        <f>IF(COUNT('Per-Trial Conf'!$E25:$G25)&gt;1,STDEV('Per-Trial Conf'!$E25:$G25)/SQRT(COUNT('Per-Trial Conf'!$E25:$G25)),0)</f>
        <v/>
      </c>
      <c r="J153" s="10">
        <f>AVERAGE('Per-Trial Conf'!$H25:$J25)</f>
        <v/>
      </c>
      <c r="K153" s="10">
        <f>IF(COUNT('Per-Trial Conf'!$H25:$J25)&gt;1,STDEV('Per-Trial Conf'!$H25:$J25)/SQRT(COUNT('Per-Trial Conf'!$H25:$J25)),0)</f>
        <v/>
      </c>
    </row>
    <row r="154">
      <c r="A154" s="3" t="inlineStr">
        <is>
          <t>2ITZ</t>
        </is>
      </c>
      <c r="B154" s="3" t="inlineStr">
        <is>
          <t>Gefitinib</t>
        </is>
      </c>
      <c r="C154" s="3" t="inlineStr">
        <is>
          <t>IRE+a</t>
        </is>
      </c>
      <c r="D154" s="10">
        <f>'Per-Trial Conf'!$D26</f>
        <v/>
      </c>
      <c r="E154" s="10">
        <f>IF(H154&gt;0,-$B$3*LN(H154),"")</f>
        <v/>
      </c>
      <c r="F154" s="10">
        <f>IF(E154="","",EXP(-E154/$B$3))</f>
        <v/>
      </c>
      <c r="G154" s="10">
        <f>IF(F154="","",F154/SUM(F$151:F$155))</f>
        <v/>
      </c>
      <c r="H154" s="10">
        <f>AVERAGE('Per-Trial Conf'!$E26:$G26)</f>
        <v/>
      </c>
      <c r="I154" s="10">
        <f>IF(COUNT('Per-Trial Conf'!$E26:$G26)&gt;1,STDEV('Per-Trial Conf'!$E26:$G26)/SQRT(COUNT('Per-Trial Conf'!$E26:$G26)),0)</f>
        <v/>
      </c>
      <c r="J154" s="10">
        <f>AVERAGE('Per-Trial Conf'!$H26:$J26)</f>
        <v/>
      </c>
      <c r="K154" s="10">
        <f>IF(COUNT('Per-Trial Conf'!$H26:$J26)&gt;1,STDEV('Per-Trial Conf'!$H26:$J26)/SQRT(COUNT('Per-Trial Conf'!$H26:$J26)),0)</f>
        <v/>
      </c>
    </row>
    <row r="155">
      <c r="A155" s="3" t="inlineStr">
        <is>
          <t>2ITZ</t>
        </is>
      </c>
      <c r="B155" s="3" t="inlineStr">
        <is>
          <t>Gefitinib</t>
        </is>
      </c>
      <c r="C155" s="3" t="inlineStr">
        <is>
          <t>IRE01</t>
        </is>
      </c>
      <c r="D155" s="10">
        <f>'Per-Trial Conf'!$D27</f>
        <v/>
      </c>
      <c r="E155" s="10">
        <f>IF(H155&gt;0,-$B$3*LN(H155),"")</f>
        <v/>
      </c>
      <c r="F155" s="10">
        <f>IF(E155="","",EXP(-E155/$B$3))</f>
        <v/>
      </c>
      <c r="G155" s="10">
        <f>IF(F155="","",F155/SUM(F$151:F$155))</f>
        <v/>
      </c>
      <c r="H155" s="10">
        <f>AVERAGE('Per-Trial Conf'!$E27:$G27)</f>
        <v/>
      </c>
      <c r="I155" s="10">
        <f>IF(COUNT('Per-Trial Conf'!$E27:$G27)&gt;1,STDEV('Per-Trial Conf'!$E27:$G27)/SQRT(COUNT('Per-Trial Conf'!$E27:$G27)),0)</f>
        <v/>
      </c>
      <c r="J155" s="10">
        <f>AVERAGE('Per-Trial Conf'!$H27:$J27)</f>
        <v/>
      </c>
      <c r="K155" s="10">
        <f>IF(COUNT('Per-Trial Conf'!$H27:$J27)&gt;1,STDEV('Per-Trial Conf'!$H27:$J27)/SQRT(COUNT('Per-Trial Conf'!$H27:$J27)),0)</f>
        <v/>
      </c>
    </row>
    <row r="156">
      <c r="A156" s="6" t="n"/>
      <c r="B156" s="6" t="n"/>
      <c r="C156" s="6" t="inlineStr">
        <is>
          <t>SUM</t>
        </is>
      </c>
      <c r="D156" s="12" t="n"/>
      <c r="E156" s="12" t="n"/>
      <c r="F156" s="12">
        <f>SUM(F151:F155)</f>
        <v/>
      </c>
      <c r="G156" s="12">
        <f>SUM(G151:G155)</f>
        <v/>
      </c>
      <c r="H156" s="12">
        <f>SUM(H151:H155)</f>
        <v/>
      </c>
      <c r="I156" s="12" t="n"/>
      <c r="J156" s="12">
        <f>SUM(J151:J155)</f>
        <v/>
      </c>
      <c r="K156" s="12" t="n"/>
    </row>
    <row r="157">
      <c r="A157" s="6" t="n"/>
      <c r="B157" s="6" t="n"/>
      <c r="C157" s="6" t="inlineStr">
        <is>
          <t>ensemble charge</t>
        </is>
      </c>
      <c r="D157" s="12" t="n"/>
      <c r="E157" s="12" t="n"/>
      <c r="F157" s="12" t="n"/>
      <c r="G157" s="12">
        <f>SUMPRODUCT($D151:$D155,G151:G155)</f>
        <v/>
      </c>
      <c r="H157" s="12">
        <f>SUMPRODUCT($D151:$D155,H151:H155)</f>
        <v/>
      </c>
      <c r="I157" s="12" t="n"/>
      <c r="J157" s="12">
        <f>SUMPRODUCT($D151:$D155,J151:J155)</f>
        <v/>
      </c>
      <c r="K157" s="12" t="n"/>
    </row>
    <row r="159">
      <c r="A159" s="3" t="inlineStr">
        <is>
          <t>3UG2</t>
        </is>
      </c>
      <c r="B159" s="3" t="inlineStr">
        <is>
          <t>Gefitinib</t>
        </is>
      </c>
      <c r="C159" s="3" t="inlineStr">
        <is>
          <t>IRE+1</t>
        </is>
      </c>
      <c r="D159" s="10">
        <f>'Per-Trial Conf'!$D56</f>
        <v/>
      </c>
      <c r="E159" s="10">
        <f>IF(H159&gt;0,-$B$3*LN(H159),"")</f>
        <v/>
      </c>
      <c r="F159" s="10">
        <f>IF(E159="","",EXP(-E159/$B$3))</f>
        <v/>
      </c>
      <c r="G159" s="10">
        <f>IF(F159="","",F159/SUM(F$159:F$163))</f>
        <v/>
      </c>
      <c r="H159" s="10">
        <f>AVERAGE('Per-Trial Conf'!$E56:$G56)</f>
        <v/>
      </c>
      <c r="I159" s="10">
        <f>IF(COUNT('Per-Trial Conf'!$E56:$G56)&gt;1,STDEV('Per-Trial Conf'!$E56:$G56)/SQRT(COUNT('Per-Trial Conf'!$E56:$G56)),0)</f>
        <v/>
      </c>
      <c r="J159" s="10">
        <f>AVERAGE('Per-Trial Conf'!$H56:$J56)</f>
        <v/>
      </c>
      <c r="K159" s="10">
        <f>IF(COUNT('Per-Trial Conf'!$H56:$J56)&gt;1,STDEV('Per-Trial Conf'!$H56:$J56)/SQRT(COUNT('Per-Trial Conf'!$H56:$J56)),0)</f>
        <v/>
      </c>
    </row>
    <row r="160">
      <c r="A160" s="3" t="inlineStr">
        <is>
          <t>3UG2</t>
        </is>
      </c>
      <c r="B160" s="3" t="inlineStr">
        <is>
          <t>Gefitinib</t>
        </is>
      </c>
      <c r="C160" s="3" t="inlineStr">
        <is>
          <t>IRE+2</t>
        </is>
      </c>
      <c r="D160" s="10">
        <f>'Per-Trial Conf'!$D57</f>
        <v/>
      </c>
      <c r="E160" s="10">
        <f>IF(H160&gt;0,-$B$3*LN(H160),"")</f>
        <v/>
      </c>
      <c r="F160" s="10">
        <f>IF(E160="","",EXP(-E160/$B$3))</f>
        <v/>
      </c>
      <c r="G160" s="10">
        <f>IF(F160="","",F160/SUM(F$159:F$163))</f>
        <v/>
      </c>
      <c r="H160" s="10">
        <f>AVERAGE('Per-Trial Conf'!$E57:$G57)</f>
        <v/>
      </c>
      <c r="I160" s="10">
        <f>IF(COUNT('Per-Trial Conf'!$E57:$G57)&gt;1,STDEV('Per-Trial Conf'!$E57:$G57)/SQRT(COUNT('Per-Trial Conf'!$E57:$G57)),0)</f>
        <v/>
      </c>
      <c r="J160" s="10">
        <f>AVERAGE('Per-Trial Conf'!$H57:$J57)</f>
        <v/>
      </c>
      <c r="K160" s="10">
        <f>IF(COUNT('Per-Trial Conf'!$H57:$J57)&gt;1,STDEV('Per-Trial Conf'!$H57:$J57)/SQRT(COUNT('Per-Trial Conf'!$H57:$J57)),0)</f>
        <v/>
      </c>
    </row>
    <row r="161">
      <c r="A161" s="3" t="inlineStr">
        <is>
          <t>3UG2</t>
        </is>
      </c>
      <c r="B161" s="3" t="inlineStr">
        <is>
          <t>Gefitinib</t>
        </is>
      </c>
      <c r="C161" s="3" t="inlineStr">
        <is>
          <t>IRE+3</t>
        </is>
      </c>
      <c r="D161" s="10">
        <f>'Per-Trial Conf'!$D58</f>
        <v/>
      </c>
      <c r="E161" s="10">
        <f>IF(H161&gt;0,-$B$3*LN(H161),"")</f>
        <v/>
      </c>
      <c r="F161" s="10">
        <f>IF(E161="","",EXP(-E161/$B$3))</f>
        <v/>
      </c>
      <c r="G161" s="10">
        <f>IF(F161="","",F161/SUM(F$159:F$163))</f>
        <v/>
      </c>
      <c r="H161" s="10">
        <f>AVERAGE('Per-Trial Conf'!$E58:$G58)</f>
        <v/>
      </c>
      <c r="I161" s="10">
        <f>IF(COUNT('Per-Trial Conf'!$E58:$G58)&gt;1,STDEV('Per-Trial Conf'!$E58:$G58)/SQRT(COUNT('Per-Trial Conf'!$E58:$G58)),0)</f>
        <v/>
      </c>
      <c r="J161" s="10">
        <f>AVERAGE('Per-Trial Conf'!$H58:$J58)</f>
        <v/>
      </c>
      <c r="K161" s="10">
        <f>IF(COUNT('Per-Trial Conf'!$H58:$J58)&gt;1,STDEV('Per-Trial Conf'!$H58:$J58)/SQRT(COUNT('Per-Trial Conf'!$H58:$J58)),0)</f>
        <v/>
      </c>
    </row>
    <row r="162">
      <c r="A162" s="3" t="inlineStr">
        <is>
          <t>3UG2</t>
        </is>
      </c>
      <c r="B162" s="3" t="inlineStr">
        <is>
          <t>Gefitinib</t>
        </is>
      </c>
      <c r="C162" s="3" t="inlineStr">
        <is>
          <t>IRE+a</t>
        </is>
      </c>
      <c r="D162" s="10">
        <f>'Per-Trial Conf'!$D59</f>
        <v/>
      </c>
      <c r="E162" s="10">
        <f>IF(H162&gt;0,-$B$3*LN(H162),"")</f>
        <v/>
      </c>
      <c r="F162" s="10">
        <f>IF(E162="","",EXP(-E162/$B$3))</f>
        <v/>
      </c>
      <c r="G162" s="10">
        <f>IF(F162="","",F162/SUM(F$159:F$163))</f>
        <v/>
      </c>
      <c r="H162" s="10">
        <f>AVERAGE('Per-Trial Conf'!$E59:$G59)</f>
        <v/>
      </c>
      <c r="I162" s="10">
        <f>IF(COUNT('Per-Trial Conf'!$E59:$G59)&gt;1,STDEV('Per-Trial Conf'!$E59:$G59)/SQRT(COUNT('Per-Trial Conf'!$E59:$G59)),0)</f>
        <v/>
      </c>
      <c r="J162" s="10">
        <f>AVERAGE('Per-Trial Conf'!$H59:$J59)</f>
        <v/>
      </c>
      <c r="K162" s="10">
        <f>IF(COUNT('Per-Trial Conf'!$H59:$J59)&gt;1,STDEV('Per-Trial Conf'!$H59:$J59)/SQRT(COUNT('Per-Trial Conf'!$H59:$J59)),0)</f>
        <v/>
      </c>
    </row>
    <row r="163">
      <c r="A163" s="3" t="inlineStr">
        <is>
          <t>3UG2</t>
        </is>
      </c>
      <c r="B163" s="3" t="inlineStr">
        <is>
          <t>Gefitinib</t>
        </is>
      </c>
      <c r="C163" s="3" t="inlineStr">
        <is>
          <t>IRE01</t>
        </is>
      </c>
      <c r="D163" s="10">
        <f>'Per-Trial Conf'!$D60</f>
        <v/>
      </c>
      <c r="E163" s="10">
        <f>IF(H163&gt;0,-$B$3*LN(H163),"")</f>
        <v/>
      </c>
      <c r="F163" s="10">
        <f>IF(E163="","",EXP(-E163/$B$3))</f>
        <v/>
      </c>
      <c r="G163" s="10">
        <f>IF(F163="","",F163/SUM(F$159:F$163))</f>
        <v/>
      </c>
      <c r="H163" s="10">
        <f>AVERAGE('Per-Trial Conf'!$E60:$G60)</f>
        <v/>
      </c>
      <c r="I163" s="10">
        <f>IF(COUNT('Per-Trial Conf'!$E60:$G60)&gt;1,STDEV('Per-Trial Conf'!$E60:$G60)/SQRT(COUNT('Per-Trial Conf'!$E60:$G60)),0)</f>
        <v/>
      </c>
      <c r="J163" s="10">
        <f>AVERAGE('Per-Trial Conf'!$H60:$J60)</f>
        <v/>
      </c>
      <c r="K163" s="10">
        <f>IF(COUNT('Per-Trial Conf'!$H60:$J60)&gt;1,STDEV('Per-Trial Conf'!$H60:$J60)/SQRT(COUNT('Per-Trial Conf'!$H60:$J60)),0)</f>
        <v/>
      </c>
    </row>
    <row r="164">
      <c r="A164" s="6" t="n"/>
      <c r="B164" s="6" t="n"/>
      <c r="C164" s="6" t="inlineStr">
        <is>
          <t>SUM</t>
        </is>
      </c>
      <c r="D164" s="12" t="n"/>
      <c r="E164" s="12" t="n"/>
      <c r="F164" s="12">
        <f>SUM(F159:F163)</f>
        <v/>
      </c>
      <c r="G164" s="12">
        <f>SUM(G159:G163)</f>
        <v/>
      </c>
      <c r="H164" s="12">
        <f>SUM(H159:H163)</f>
        <v/>
      </c>
      <c r="I164" s="12" t="n"/>
      <c r="J164" s="12">
        <f>SUM(J159:J163)</f>
        <v/>
      </c>
      <c r="K164" s="12" t="n"/>
    </row>
    <row r="165">
      <c r="A165" s="6" t="n"/>
      <c r="B165" s="6" t="n"/>
      <c r="C165" s="6" t="inlineStr">
        <is>
          <t>ensemble charge</t>
        </is>
      </c>
      <c r="D165" s="12" t="n"/>
      <c r="E165" s="12" t="n"/>
      <c r="F165" s="12" t="n"/>
      <c r="G165" s="12">
        <f>SUMPRODUCT($D159:$D163,G159:G163)</f>
        <v/>
      </c>
      <c r="H165" s="12">
        <f>SUMPRODUCT($D159:$D163,H159:H163)</f>
        <v/>
      </c>
      <c r="I165" s="12" t="n"/>
      <c r="J165" s="12">
        <f>SUMPRODUCT($D159:$D163,J159:J163)</f>
        <v/>
      </c>
      <c r="K165" s="12" t="n"/>
    </row>
    <row r="167">
      <c r="A167" s="3" t="inlineStr">
        <is>
          <t>4I22</t>
        </is>
      </c>
      <c r="B167" s="3" t="inlineStr">
        <is>
          <t>Gefitinib</t>
        </is>
      </c>
      <c r="C167" s="3" t="inlineStr">
        <is>
          <t>IRE+1</t>
        </is>
      </c>
      <c r="D167" s="10">
        <f>'Per-Trial Conf'!$D102</f>
        <v/>
      </c>
      <c r="E167" s="10">
        <f>IF(H167&gt;0,-$B$3*LN(H167),"")</f>
        <v/>
      </c>
      <c r="F167" s="10">
        <f>IF(E167="","",EXP(-E167/$B$3))</f>
        <v/>
      </c>
      <c r="G167" s="10">
        <f>IF(F167="","",F167/SUM(F$167:F$171))</f>
        <v/>
      </c>
      <c r="H167" s="10">
        <f>AVERAGE('Per-Trial Conf'!$E102:$G102)</f>
        <v/>
      </c>
      <c r="I167" s="10">
        <f>IF(COUNT('Per-Trial Conf'!$E102:$G102)&gt;1,STDEV('Per-Trial Conf'!$E102:$G102)/SQRT(COUNT('Per-Trial Conf'!$E102:$G102)),0)</f>
        <v/>
      </c>
      <c r="J167" s="10">
        <f>AVERAGE('Per-Trial Conf'!$H102:$J102)</f>
        <v/>
      </c>
      <c r="K167" s="10">
        <f>IF(COUNT('Per-Trial Conf'!$H102:$J102)&gt;1,STDEV('Per-Trial Conf'!$H102:$J102)/SQRT(COUNT('Per-Trial Conf'!$H102:$J102)),0)</f>
        <v/>
      </c>
    </row>
    <row r="168">
      <c r="A168" s="3" t="inlineStr">
        <is>
          <t>4I22</t>
        </is>
      </c>
      <c r="B168" s="3" t="inlineStr">
        <is>
          <t>Gefitinib</t>
        </is>
      </c>
      <c r="C168" s="3" t="inlineStr">
        <is>
          <t>IRE+2</t>
        </is>
      </c>
      <c r="D168" s="10">
        <f>'Per-Trial Conf'!$D103</f>
        <v/>
      </c>
      <c r="E168" s="10">
        <f>IF(H168&gt;0,-$B$3*LN(H168),"")</f>
        <v/>
      </c>
      <c r="F168" s="10">
        <f>IF(E168="","",EXP(-E168/$B$3))</f>
        <v/>
      </c>
      <c r="G168" s="10">
        <f>IF(F168="","",F168/SUM(F$167:F$171))</f>
        <v/>
      </c>
      <c r="H168" s="10">
        <f>AVERAGE('Per-Trial Conf'!$E103:$G103)</f>
        <v/>
      </c>
      <c r="I168" s="10">
        <f>IF(COUNT('Per-Trial Conf'!$E103:$G103)&gt;1,STDEV('Per-Trial Conf'!$E103:$G103)/SQRT(COUNT('Per-Trial Conf'!$E103:$G103)),0)</f>
        <v/>
      </c>
      <c r="J168" s="10">
        <f>AVERAGE('Per-Trial Conf'!$H103:$J103)</f>
        <v/>
      </c>
      <c r="K168" s="10">
        <f>IF(COUNT('Per-Trial Conf'!$H103:$J103)&gt;1,STDEV('Per-Trial Conf'!$H103:$J103)/SQRT(COUNT('Per-Trial Conf'!$H103:$J103)),0)</f>
        <v/>
      </c>
    </row>
    <row r="169">
      <c r="A169" s="3" t="inlineStr">
        <is>
          <t>4I22</t>
        </is>
      </c>
      <c r="B169" s="3" t="inlineStr">
        <is>
          <t>Gefitinib</t>
        </is>
      </c>
      <c r="C169" s="3" t="inlineStr">
        <is>
          <t>IRE+3</t>
        </is>
      </c>
      <c r="D169" s="10">
        <f>'Per-Trial Conf'!$D104</f>
        <v/>
      </c>
      <c r="E169" s="10">
        <f>IF(H169&gt;0,-$B$3*LN(H169),"")</f>
        <v/>
      </c>
      <c r="F169" s="10">
        <f>IF(E169="","",EXP(-E169/$B$3))</f>
        <v/>
      </c>
      <c r="G169" s="10">
        <f>IF(F169="","",F169/SUM(F$167:F$171))</f>
        <v/>
      </c>
      <c r="H169" s="10">
        <f>AVERAGE('Per-Trial Conf'!$E104:$G104)</f>
        <v/>
      </c>
      <c r="I169" s="10">
        <f>IF(COUNT('Per-Trial Conf'!$E104:$G104)&gt;1,STDEV('Per-Trial Conf'!$E104:$G104)/SQRT(COUNT('Per-Trial Conf'!$E104:$G104)),0)</f>
        <v/>
      </c>
      <c r="J169" s="10">
        <f>AVERAGE('Per-Trial Conf'!$H104:$J104)</f>
        <v/>
      </c>
      <c r="K169" s="10">
        <f>IF(COUNT('Per-Trial Conf'!$H104:$J104)&gt;1,STDEV('Per-Trial Conf'!$H104:$J104)/SQRT(COUNT('Per-Trial Conf'!$H104:$J104)),0)</f>
        <v/>
      </c>
    </row>
    <row r="170">
      <c r="A170" s="3" t="inlineStr">
        <is>
          <t>4I22</t>
        </is>
      </c>
      <c r="B170" s="3" t="inlineStr">
        <is>
          <t>Gefitinib</t>
        </is>
      </c>
      <c r="C170" s="3" t="inlineStr">
        <is>
          <t>IRE+a</t>
        </is>
      </c>
      <c r="D170" s="10">
        <f>'Per-Trial Conf'!$D105</f>
        <v/>
      </c>
      <c r="E170" s="10">
        <f>IF(H170&gt;0,-$B$3*LN(H170),"")</f>
        <v/>
      </c>
      <c r="F170" s="10">
        <f>IF(E170="","",EXP(-E170/$B$3))</f>
        <v/>
      </c>
      <c r="G170" s="10">
        <f>IF(F170="","",F170/SUM(F$167:F$171))</f>
        <v/>
      </c>
      <c r="H170" s="10">
        <f>AVERAGE('Per-Trial Conf'!$E105:$G105)</f>
        <v/>
      </c>
      <c r="I170" s="10">
        <f>IF(COUNT('Per-Trial Conf'!$E105:$G105)&gt;1,STDEV('Per-Trial Conf'!$E105:$G105)/SQRT(COUNT('Per-Trial Conf'!$E105:$G105)),0)</f>
        <v/>
      </c>
      <c r="J170" s="10">
        <f>AVERAGE('Per-Trial Conf'!$H105:$J105)</f>
        <v/>
      </c>
      <c r="K170" s="10">
        <f>IF(COUNT('Per-Trial Conf'!$H105:$J105)&gt;1,STDEV('Per-Trial Conf'!$H105:$J105)/SQRT(COUNT('Per-Trial Conf'!$H105:$J105)),0)</f>
        <v/>
      </c>
    </row>
    <row r="171">
      <c r="A171" s="3" t="inlineStr">
        <is>
          <t>4I22</t>
        </is>
      </c>
      <c r="B171" s="3" t="inlineStr">
        <is>
          <t>Gefitinib</t>
        </is>
      </c>
      <c r="C171" s="3" t="inlineStr">
        <is>
          <t>IRE01</t>
        </is>
      </c>
      <c r="D171" s="10">
        <f>'Per-Trial Conf'!$D106</f>
        <v/>
      </c>
      <c r="E171" s="10">
        <f>IF(H171&gt;0,-$B$3*LN(H171),"")</f>
        <v/>
      </c>
      <c r="F171" s="10">
        <f>IF(E171="","",EXP(-E171/$B$3))</f>
        <v/>
      </c>
      <c r="G171" s="10">
        <f>IF(F171="","",F171/SUM(F$167:F$171))</f>
        <v/>
      </c>
      <c r="H171" s="10">
        <f>AVERAGE('Per-Trial Conf'!$E106:$G106)</f>
        <v/>
      </c>
      <c r="I171" s="10">
        <f>IF(COUNT('Per-Trial Conf'!$E106:$G106)&gt;1,STDEV('Per-Trial Conf'!$E106:$G106)/SQRT(COUNT('Per-Trial Conf'!$E106:$G106)),0)</f>
        <v/>
      </c>
      <c r="J171" s="10">
        <f>AVERAGE('Per-Trial Conf'!$H106:$J106)</f>
        <v/>
      </c>
      <c r="K171" s="10">
        <f>IF(COUNT('Per-Trial Conf'!$H106:$J106)&gt;1,STDEV('Per-Trial Conf'!$H106:$J106)/SQRT(COUNT('Per-Trial Conf'!$H106:$J106)),0)</f>
        <v/>
      </c>
    </row>
    <row r="172">
      <c r="A172" s="6" t="n"/>
      <c r="B172" s="6" t="n"/>
      <c r="C172" s="6" t="inlineStr">
        <is>
          <t>SUM</t>
        </is>
      </c>
      <c r="D172" s="12" t="n"/>
      <c r="E172" s="12" t="n"/>
      <c r="F172" s="12">
        <f>SUM(F167:F171)</f>
        <v/>
      </c>
      <c r="G172" s="12">
        <f>SUM(G167:G171)</f>
        <v/>
      </c>
      <c r="H172" s="12">
        <f>SUM(H167:H171)</f>
        <v/>
      </c>
      <c r="I172" s="12" t="n"/>
      <c r="J172" s="12">
        <f>SUM(J167:J171)</f>
        <v/>
      </c>
      <c r="K172" s="12" t="n"/>
    </row>
    <row r="173">
      <c r="A173" s="6" t="n"/>
      <c r="B173" s="6" t="n"/>
      <c r="C173" s="6" t="inlineStr">
        <is>
          <t>ensemble charge</t>
        </is>
      </c>
      <c r="D173" s="12" t="n"/>
      <c r="E173" s="12" t="n"/>
      <c r="F173" s="12" t="n"/>
      <c r="G173" s="12">
        <f>SUMPRODUCT($D167:$D171,G167:G171)</f>
        <v/>
      </c>
      <c r="H173" s="12">
        <f>SUMPRODUCT($D167:$D171,H167:H171)</f>
        <v/>
      </c>
      <c r="I173" s="12" t="n"/>
      <c r="J173" s="12">
        <f>SUMPRODUCT($D167:$D171,J167:J171)</f>
        <v/>
      </c>
      <c r="K173" s="12" t="n"/>
    </row>
    <row r="175">
      <c r="A175" s="3" t="inlineStr">
        <is>
          <t>4WKQ</t>
        </is>
      </c>
      <c r="B175" s="3" t="inlineStr">
        <is>
          <t>Gefitinib</t>
        </is>
      </c>
      <c r="C175" s="3" t="inlineStr">
        <is>
          <t>IRE+1</t>
        </is>
      </c>
      <c r="D175" s="10">
        <f>'Per-Trial Conf'!$D113</f>
        <v/>
      </c>
      <c r="E175" s="10">
        <f>IF(H175&gt;0,-$B$3*LN(H175),"")</f>
        <v/>
      </c>
      <c r="F175" s="10">
        <f>IF(E175="","",EXP(-E175/$B$3))</f>
        <v/>
      </c>
      <c r="G175" s="10">
        <f>IF(F175="","",F175/SUM(F$175:F$179))</f>
        <v/>
      </c>
      <c r="H175" s="10">
        <f>AVERAGE('Per-Trial Conf'!$E113:$G113)</f>
        <v/>
      </c>
      <c r="I175" s="10">
        <f>IF(COUNT('Per-Trial Conf'!$E113:$G113)&gt;1,STDEV('Per-Trial Conf'!$E113:$G113)/SQRT(COUNT('Per-Trial Conf'!$E113:$G113)),0)</f>
        <v/>
      </c>
      <c r="J175" s="10">
        <f>AVERAGE('Per-Trial Conf'!$H113:$J113)</f>
        <v/>
      </c>
      <c r="K175" s="10">
        <f>IF(COUNT('Per-Trial Conf'!$H113:$J113)&gt;1,STDEV('Per-Trial Conf'!$H113:$J113)/SQRT(COUNT('Per-Trial Conf'!$H113:$J113)),0)</f>
        <v/>
      </c>
    </row>
    <row r="176">
      <c r="A176" s="3" t="inlineStr">
        <is>
          <t>4WKQ</t>
        </is>
      </c>
      <c r="B176" s="3" t="inlineStr">
        <is>
          <t>Gefitinib</t>
        </is>
      </c>
      <c r="C176" s="3" t="inlineStr">
        <is>
          <t>IRE+2</t>
        </is>
      </c>
      <c r="D176" s="10">
        <f>'Per-Trial Conf'!$D114</f>
        <v/>
      </c>
      <c r="E176" s="10">
        <f>IF(H176&gt;0,-$B$3*LN(H176),"")</f>
        <v/>
      </c>
      <c r="F176" s="10">
        <f>IF(E176="","",EXP(-E176/$B$3))</f>
        <v/>
      </c>
      <c r="G176" s="10">
        <f>IF(F176="","",F176/SUM(F$175:F$179))</f>
        <v/>
      </c>
      <c r="H176" s="10">
        <f>AVERAGE('Per-Trial Conf'!$E114:$G114)</f>
        <v/>
      </c>
      <c r="I176" s="10">
        <f>IF(COUNT('Per-Trial Conf'!$E114:$G114)&gt;1,STDEV('Per-Trial Conf'!$E114:$G114)/SQRT(COUNT('Per-Trial Conf'!$E114:$G114)),0)</f>
        <v/>
      </c>
      <c r="J176" s="10">
        <f>AVERAGE('Per-Trial Conf'!$H114:$J114)</f>
        <v/>
      </c>
      <c r="K176" s="10">
        <f>IF(COUNT('Per-Trial Conf'!$H114:$J114)&gt;1,STDEV('Per-Trial Conf'!$H114:$J114)/SQRT(COUNT('Per-Trial Conf'!$H114:$J114)),0)</f>
        <v/>
      </c>
    </row>
    <row r="177">
      <c r="A177" s="3" t="inlineStr">
        <is>
          <t>4WKQ</t>
        </is>
      </c>
      <c r="B177" s="3" t="inlineStr">
        <is>
          <t>Gefitinib</t>
        </is>
      </c>
      <c r="C177" s="3" t="inlineStr">
        <is>
          <t>IRE+3</t>
        </is>
      </c>
      <c r="D177" s="10">
        <f>'Per-Trial Conf'!$D115</f>
        <v/>
      </c>
      <c r="E177" s="10">
        <f>IF(H177&gt;0,-$B$3*LN(H177),"")</f>
        <v/>
      </c>
      <c r="F177" s="10">
        <f>IF(E177="","",EXP(-E177/$B$3))</f>
        <v/>
      </c>
      <c r="G177" s="10">
        <f>IF(F177="","",F177/SUM(F$175:F$179))</f>
        <v/>
      </c>
      <c r="H177" s="10">
        <f>AVERAGE('Per-Trial Conf'!$E115:$G115)</f>
        <v/>
      </c>
      <c r="I177" s="10">
        <f>IF(COUNT('Per-Trial Conf'!$E115:$G115)&gt;1,STDEV('Per-Trial Conf'!$E115:$G115)/SQRT(COUNT('Per-Trial Conf'!$E115:$G115)),0)</f>
        <v/>
      </c>
      <c r="J177" s="10">
        <f>AVERAGE('Per-Trial Conf'!$H115:$J115)</f>
        <v/>
      </c>
      <c r="K177" s="10">
        <f>IF(COUNT('Per-Trial Conf'!$H115:$J115)&gt;1,STDEV('Per-Trial Conf'!$H115:$J115)/SQRT(COUNT('Per-Trial Conf'!$H115:$J115)),0)</f>
        <v/>
      </c>
    </row>
    <row r="178">
      <c r="A178" s="3" t="inlineStr">
        <is>
          <t>4WKQ</t>
        </is>
      </c>
      <c r="B178" s="3" t="inlineStr">
        <is>
          <t>Gefitinib</t>
        </is>
      </c>
      <c r="C178" s="3" t="inlineStr">
        <is>
          <t>IRE+a</t>
        </is>
      </c>
      <c r="D178" s="10">
        <f>'Per-Trial Conf'!$D116</f>
        <v/>
      </c>
      <c r="E178" s="10">
        <f>IF(H178&gt;0,-$B$3*LN(H178),"")</f>
        <v/>
      </c>
      <c r="F178" s="10">
        <f>IF(E178="","",EXP(-E178/$B$3))</f>
        <v/>
      </c>
      <c r="G178" s="10">
        <f>IF(F178="","",F178/SUM(F$175:F$179))</f>
        <v/>
      </c>
      <c r="H178" s="10">
        <f>AVERAGE('Per-Trial Conf'!$E116:$G116)</f>
        <v/>
      </c>
      <c r="I178" s="10">
        <f>IF(COUNT('Per-Trial Conf'!$E116:$G116)&gt;1,STDEV('Per-Trial Conf'!$E116:$G116)/SQRT(COUNT('Per-Trial Conf'!$E116:$G116)),0)</f>
        <v/>
      </c>
      <c r="J178" s="10">
        <f>AVERAGE('Per-Trial Conf'!$H116:$J116)</f>
        <v/>
      </c>
      <c r="K178" s="10">
        <f>IF(COUNT('Per-Trial Conf'!$H116:$J116)&gt;1,STDEV('Per-Trial Conf'!$H116:$J116)/SQRT(COUNT('Per-Trial Conf'!$H116:$J116)),0)</f>
        <v/>
      </c>
    </row>
    <row r="179">
      <c r="A179" s="3" t="inlineStr">
        <is>
          <t>4WKQ</t>
        </is>
      </c>
      <c r="B179" s="3" t="inlineStr">
        <is>
          <t>Gefitinib</t>
        </is>
      </c>
      <c r="C179" s="3" t="inlineStr">
        <is>
          <t>IRE01</t>
        </is>
      </c>
      <c r="D179" s="10">
        <f>'Per-Trial Conf'!$D117</f>
        <v/>
      </c>
      <c r="E179" s="10">
        <f>IF(H179&gt;0,-$B$3*LN(H179),"")</f>
        <v/>
      </c>
      <c r="F179" s="10">
        <f>IF(E179="","",EXP(-E179/$B$3))</f>
        <v/>
      </c>
      <c r="G179" s="10">
        <f>IF(F179="","",F179/SUM(F$175:F$179))</f>
        <v/>
      </c>
      <c r="H179" s="10">
        <f>AVERAGE('Per-Trial Conf'!$E117:$G117)</f>
        <v/>
      </c>
      <c r="I179" s="10">
        <f>IF(COUNT('Per-Trial Conf'!$E117:$G117)&gt;1,STDEV('Per-Trial Conf'!$E117:$G117)/SQRT(COUNT('Per-Trial Conf'!$E117:$G117)),0)</f>
        <v/>
      </c>
      <c r="J179" s="10">
        <f>AVERAGE('Per-Trial Conf'!$H117:$J117)</f>
        <v/>
      </c>
      <c r="K179" s="10">
        <f>IF(COUNT('Per-Trial Conf'!$H117:$J117)&gt;1,STDEV('Per-Trial Conf'!$H117:$J117)/SQRT(COUNT('Per-Trial Conf'!$H117:$J117)),0)</f>
        <v/>
      </c>
    </row>
    <row r="180">
      <c r="A180" s="6" t="n"/>
      <c r="B180" s="6" t="n"/>
      <c r="C180" s="6" t="inlineStr">
        <is>
          <t>SUM</t>
        </is>
      </c>
      <c r="D180" s="12" t="n"/>
      <c r="E180" s="12" t="n"/>
      <c r="F180" s="12">
        <f>SUM(F175:F179)</f>
        <v/>
      </c>
      <c r="G180" s="12">
        <f>SUM(G175:G179)</f>
        <v/>
      </c>
      <c r="H180" s="12">
        <f>SUM(H175:H179)</f>
        <v/>
      </c>
      <c r="I180" s="12" t="n"/>
      <c r="J180" s="12">
        <f>SUM(J175:J179)</f>
        <v/>
      </c>
      <c r="K180" s="12" t="n"/>
    </row>
    <row r="181">
      <c r="A181" s="6" t="n"/>
      <c r="B181" s="6" t="n"/>
      <c r="C181" s="6" t="inlineStr">
        <is>
          <t>ensemble charge</t>
        </is>
      </c>
      <c r="D181" s="12" t="n"/>
      <c r="E181" s="12" t="n"/>
      <c r="F181" s="12" t="n"/>
      <c r="G181" s="12">
        <f>SUMPRODUCT($D175:$D179,G175:G179)</f>
        <v/>
      </c>
      <c r="H181" s="12">
        <f>SUMPRODUCT($D175:$D179,H175:H179)</f>
        <v/>
      </c>
      <c r="I181" s="12" t="n"/>
      <c r="J181" s="12">
        <f>SUMPRODUCT($D175:$D179,J175:J179)</f>
        <v/>
      </c>
      <c r="K181" s="12" t="n"/>
    </row>
    <row r="183">
      <c r="A183" s="3" t="inlineStr">
        <is>
          <t>1XKK</t>
        </is>
      </c>
      <c r="B183" s="3" t="inlineStr">
        <is>
          <t>Lapatinib</t>
        </is>
      </c>
      <c r="C183" s="3" t="inlineStr">
        <is>
          <t>FMM+1</t>
        </is>
      </c>
      <c r="D183" s="10">
        <f>'Per-Trial Conf'!$D3</f>
        <v/>
      </c>
      <c r="E183" s="10">
        <f>IF(H183&gt;0,-$B$3*LN(H183),"")</f>
        <v/>
      </c>
      <c r="F183" s="10">
        <f>IF(E183="","",EXP(-E183/$B$3))</f>
        <v/>
      </c>
      <c r="G183" s="10">
        <f>IF(F183="","",F183/SUM(F$183:F$185))</f>
        <v/>
      </c>
      <c r="H183" s="10">
        <f>AVERAGE('Per-Trial Conf'!$E3:$G3)</f>
        <v/>
      </c>
      <c r="I183" s="10">
        <f>IF(COUNT('Per-Trial Conf'!$E3:$G3)&gt;1,STDEV('Per-Trial Conf'!$E3:$G3)/SQRT(COUNT('Per-Trial Conf'!$E3:$G3)),0)</f>
        <v/>
      </c>
      <c r="J183" s="10">
        <f>AVERAGE('Per-Trial Conf'!$H3:$J3)</f>
        <v/>
      </c>
      <c r="K183" s="10">
        <f>IF(COUNT('Per-Trial Conf'!$H3:$J3)&gt;1,STDEV('Per-Trial Conf'!$H3:$J3)/SQRT(COUNT('Per-Trial Conf'!$H3:$J3)),0)</f>
        <v/>
      </c>
    </row>
    <row r="184">
      <c r="A184" s="3" t="inlineStr">
        <is>
          <t>1XKK</t>
        </is>
      </c>
      <c r="B184" s="3" t="inlineStr">
        <is>
          <t>Lapatinib</t>
        </is>
      </c>
      <c r="C184" s="3" t="inlineStr">
        <is>
          <t>FMM+a</t>
        </is>
      </c>
      <c r="D184" s="10">
        <f>'Per-Trial Conf'!$D4</f>
        <v/>
      </c>
      <c r="E184" s="10">
        <f>IF(H184&gt;0,-$B$3*LN(H184),"")</f>
        <v/>
      </c>
      <c r="F184" s="10">
        <f>IF(E184="","",EXP(-E184/$B$3))</f>
        <v/>
      </c>
      <c r="G184" s="10">
        <f>IF(F184="","",F184/SUM(F$183:F$185))</f>
        <v/>
      </c>
      <c r="H184" s="10">
        <f>AVERAGE('Per-Trial Conf'!$E4:$G4)</f>
        <v/>
      </c>
      <c r="I184" s="10">
        <f>IF(COUNT('Per-Trial Conf'!$E4:$G4)&gt;1,STDEV('Per-Trial Conf'!$E4:$G4)/SQRT(COUNT('Per-Trial Conf'!$E4:$G4)),0)</f>
        <v/>
      </c>
      <c r="J184" s="10">
        <f>AVERAGE('Per-Trial Conf'!$H4:$J4)</f>
        <v/>
      </c>
      <c r="K184" s="10">
        <f>IF(COUNT('Per-Trial Conf'!$H4:$J4)&gt;1,STDEV('Per-Trial Conf'!$H4:$J4)/SQRT(COUNT('Per-Trial Conf'!$H4:$J4)),0)</f>
        <v/>
      </c>
    </row>
    <row r="185">
      <c r="A185" s="3" t="inlineStr">
        <is>
          <t>1XKK</t>
        </is>
      </c>
      <c r="B185" s="3" t="inlineStr">
        <is>
          <t>Lapatinib</t>
        </is>
      </c>
      <c r="C185" s="3" t="inlineStr">
        <is>
          <t>FMM01</t>
        </is>
      </c>
      <c r="D185" s="10">
        <f>'Per-Trial Conf'!$D5</f>
        <v/>
      </c>
      <c r="E185" s="10">
        <f>IF(H185&gt;0,-$B$3*LN(H185),"")</f>
        <v/>
      </c>
      <c r="F185" s="10">
        <f>IF(E185="","",EXP(-E185/$B$3))</f>
        <v/>
      </c>
      <c r="G185" s="10">
        <f>IF(F185="","",F185/SUM(F$183:F$185))</f>
        <v/>
      </c>
      <c r="H185" s="10">
        <f>AVERAGE('Per-Trial Conf'!$E5:$G5)</f>
        <v/>
      </c>
      <c r="I185" s="10">
        <f>IF(COUNT('Per-Trial Conf'!$E5:$G5)&gt;1,STDEV('Per-Trial Conf'!$E5:$G5)/SQRT(COUNT('Per-Trial Conf'!$E5:$G5)),0)</f>
        <v/>
      </c>
      <c r="J185" s="10">
        <f>AVERAGE('Per-Trial Conf'!$H5:$J5)</f>
        <v/>
      </c>
      <c r="K185" s="10">
        <f>IF(COUNT('Per-Trial Conf'!$H5:$J5)&gt;1,STDEV('Per-Trial Conf'!$H5:$J5)/SQRT(COUNT('Per-Trial Conf'!$H5:$J5)),0)</f>
        <v/>
      </c>
    </row>
    <row r="186">
      <c r="A186" s="6" t="n"/>
      <c r="B186" s="6" t="n"/>
      <c r="C186" s="6" t="inlineStr">
        <is>
          <t>SUM</t>
        </is>
      </c>
      <c r="D186" s="12" t="n"/>
      <c r="E186" s="12" t="n"/>
      <c r="F186" s="12">
        <f>SUM(F183:F185)</f>
        <v/>
      </c>
      <c r="G186" s="12">
        <f>SUM(G183:G185)</f>
        <v/>
      </c>
      <c r="H186" s="12">
        <f>SUM(H183:H185)</f>
        <v/>
      </c>
      <c r="I186" s="12" t="n"/>
      <c r="J186" s="12">
        <f>SUM(J183:J185)</f>
        <v/>
      </c>
      <c r="K186" s="12" t="n"/>
    </row>
    <row r="187">
      <c r="A187" s="6" t="n"/>
      <c r="B187" s="6" t="n"/>
      <c r="C187" s="6" t="inlineStr">
        <is>
          <t>ensemble charge</t>
        </is>
      </c>
      <c r="D187" s="12" t="n"/>
      <c r="E187" s="12" t="n"/>
      <c r="F187" s="12" t="n"/>
      <c r="G187" s="12">
        <f>SUMPRODUCT($D183:$D185,G183:G185)</f>
        <v/>
      </c>
      <c r="H187" s="12">
        <f>SUMPRODUCT($D183:$D185,H183:H185)</f>
        <v/>
      </c>
      <c r="I187" s="12" t="n"/>
      <c r="J187" s="12">
        <f>SUMPRODUCT($D183:$D185,J183:J185)</f>
        <v/>
      </c>
      <c r="K187" s="12" t="n"/>
    </row>
    <row r="189">
      <c r="A189" s="3" t="inlineStr">
        <is>
          <t>4ZAU</t>
        </is>
      </c>
      <c r="B189" s="3" t="inlineStr">
        <is>
          <t>Osimertinib</t>
        </is>
      </c>
      <c r="C189" s="3" t="inlineStr">
        <is>
          <t>YY3+1</t>
        </is>
      </c>
      <c r="D189" s="10">
        <f>'Per-Trial Conf'!$D118</f>
        <v/>
      </c>
      <c r="E189" s="10">
        <f>IF(H189&gt;0,-$B$3*LN(H189),"")</f>
        <v/>
      </c>
      <c r="F189" s="10">
        <f>IF(E189="","",EXP(-E189/$B$3))</f>
        <v/>
      </c>
      <c r="G189" s="10">
        <f>IF(F189="","",F189/SUM(F$189:F$195))</f>
        <v/>
      </c>
      <c r="H189" s="10">
        <f>AVERAGE('Per-Trial Conf'!$E118:$G118)</f>
        <v/>
      </c>
      <c r="I189" s="10">
        <f>IF(COUNT('Per-Trial Conf'!$E118:$G118)&gt;1,STDEV('Per-Trial Conf'!$E118:$G118)/SQRT(COUNT('Per-Trial Conf'!$E118:$G118)),0)</f>
        <v/>
      </c>
      <c r="J189" s="10">
        <f>AVERAGE('Per-Trial Conf'!$H118:$J118)</f>
        <v/>
      </c>
      <c r="K189" s="10">
        <f>IF(COUNT('Per-Trial Conf'!$H118:$J118)&gt;1,STDEV('Per-Trial Conf'!$H118:$J118)/SQRT(COUNT('Per-Trial Conf'!$H118:$J118)),0)</f>
        <v/>
      </c>
    </row>
    <row r="190">
      <c r="A190" s="3" t="inlineStr">
        <is>
          <t>4ZAU</t>
        </is>
      </c>
      <c r="B190" s="3" t="inlineStr">
        <is>
          <t>Osimertinib</t>
        </is>
      </c>
      <c r="C190" s="3" t="inlineStr">
        <is>
          <t>YY3+2</t>
        </is>
      </c>
      <c r="D190" s="10">
        <f>'Per-Trial Conf'!$D119</f>
        <v/>
      </c>
      <c r="E190" s="10">
        <f>IF(H190&gt;0,-$B$3*LN(H190),"")</f>
        <v/>
      </c>
      <c r="F190" s="10">
        <f>IF(E190="","",EXP(-E190/$B$3))</f>
        <v/>
      </c>
      <c r="G190" s="10">
        <f>IF(F190="","",F190/SUM(F$189:F$195))</f>
        <v/>
      </c>
      <c r="H190" s="10">
        <f>AVERAGE('Per-Trial Conf'!$E119:$G119)</f>
        <v/>
      </c>
      <c r="I190" s="10">
        <f>IF(COUNT('Per-Trial Conf'!$E119:$G119)&gt;1,STDEV('Per-Trial Conf'!$E119:$G119)/SQRT(COUNT('Per-Trial Conf'!$E119:$G119)),0)</f>
        <v/>
      </c>
      <c r="J190" s="10">
        <f>AVERAGE('Per-Trial Conf'!$H119:$J119)</f>
        <v/>
      </c>
      <c r="K190" s="10">
        <f>IF(COUNT('Per-Trial Conf'!$H119:$J119)&gt;1,STDEV('Per-Trial Conf'!$H119:$J119)/SQRT(COUNT('Per-Trial Conf'!$H119:$J119)),0)</f>
        <v/>
      </c>
    </row>
    <row r="191">
      <c r="A191" s="3" t="inlineStr">
        <is>
          <t>4ZAU</t>
        </is>
      </c>
      <c r="B191" s="3" t="inlineStr">
        <is>
          <t>Osimertinib</t>
        </is>
      </c>
      <c r="C191" s="3" t="inlineStr">
        <is>
          <t>YY3+3</t>
        </is>
      </c>
      <c r="D191" s="10">
        <f>'Per-Trial Conf'!$D120</f>
        <v/>
      </c>
      <c r="E191" s="10">
        <f>IF(H191&gt;0,-$B$3*LN(H191),"")</f>
        <v/>
      </c>
      <c r="F191" s="10">
        <f>IF(E191="","",EXP(-E191/$B$3))</f>
        <v/>
      </c>
      <c r="G191" s="10">
        <f>IF(F191="","",F191/SUM(F$189:F$195))</f>
        <v/>
      </c>
      <c r="H191" s="10">
        <f>AVERAGE('Per-Trial Conf'!$E120:$G120)</f>
        <v/>
      </c>
      <c r="I191" s="10">
        <f>IF(COUNT('Per-Trial Conf'!$E120:$G120)&gt;1,STDEV('Per-Trial Conf'!$E120:$G120)/SQRT(COUNT('Per-Trial Conf'!$E120:$G120)),0)</f>
        <v/>
      </c>
      <c r="J191" s="10">
        <f>AVERAGE('Per-Trial Conf'!$H120:$J120)</f>
        <v/>
      </c>
      <c r="K191" s="10">
        <f>IF(COUNT('Per-Trial Conf'!$H120:$J120)&gt;1,STDEV('Per-Trial Conf'!$H120:$J120)/SQRT(COUNT('Per-Trial Conf'!$H120:$J120)),0)</f>
        <v/>
      </c>
    </row>
    <row r="192">
      <c r="A192" s="3" t="inlineStr">
        <is>
          <t>4ZAU</t>
        </is>
      </c>
      <c r="B192" s="3" t="inlineStr">
        <is>
          <t>Osimertinib</t>
        </is>
      </c>
      <c r="C192" s="3" t="inlineStr">
        <is>
          <t>YY3+4</t>
        </is>
      </c>
      <c r="D192" s="10">
        <f>'Per-Trial Conf'!$D121</f>
        <v/>
      </c>
      <c r="E192" s="10">
        <f>IF(H192&gt;0,-$B$3*LN(H192),"")</f>
        <v/>
      </c>
      <c r="F192" s="10">
        <f>IF(E192="","",EXP(-E192/$B$3))</f>
        <v/>
      </c>
      <c r="G192" s="10">
        <f>IF(F192="","",F192/SUM(F$189:F$195))</f>
        <v/>
      </c>
      <c r="H192" s="10">
        <f>AVERAGE('Per-Trial Conf'!$E121:$G121)</f>
        <v/>
      </c>
      <c r="I192" s="10">
        <f>IF(COUNT('Per-Trial Conf'!$E121:$G121)&gt;1,STDEV('Per-Trial Conf'!$E121:$G121)/SQRT(COUNT('Per-Trial Conf'!$E121:$G121)),0)</f>
        <v/>
      </c>
      <c r="J192" s="10">
        <f>AVERAGE('Per-Trial Conf'!$H121:$J121)</f>
        <v/>
      </c>
      <c r="K192" s="10">
        <f>IF(COUNT('Per-Trial Conf'!$H121:$J121)&gt;1,STDEV('Per-Trial Conf'!$H121:$J121)/SQRT(COUNT('Per-Trial Conf'!$H121:$J121)),0)</f>
        <v/>
      </c>
    </row>
    <row r="193">
      <c r="A193" s="3" t="inlineStr">
        <is>
          <t>4ZAU</t>
        </is>
      </c>
      <c r="B193" s="3" t="inlineStr">
        <is>
          <t>Osimertinib</t>
        </is>
      </c>
      <c r="C193" s="3" t="inlineStr">
        <is>
          <t>YY3+a</t>
        </is>
      </c>
      <c r="D193" s="10">
        <f>'Per-Trial Conf'!$D122</f>
        <v/>
      </c>
      <c r="E193" s="10">
        <f>IF(H193&gt;0,-$B$3*LN(H193),"")</f>
        <v/>
      </c>
      <c r="F193" s="10">
        <f>IF(E193="","",EXP(-E193/$B$3))</f>
        <v/>
      </c>
      <c r="G193" s="10">
        <f>IF(F193="","",F193/SUM(F$189:F$195))</f>
        <v/>
      </c>
      <c r="H193" s="10">
        <f>AVERAGE('Per-Trial Conf'!$E122:$G122)</f>
        <v/>
      </c>
      <c r="I193" s="10">
        <f>IF(COUNT('Per-Trial Conf'!$E122:$G122)&gt;1,STDEV('Per-Trial Conf'!$E122:$G122)/SQRT(COUNT('Per-Trial Conf'!$E122:$G122)),0)</f>
        <v/>
      </c>
      <c r="J193" s="10">
        <f>AVERAGE('Per-Trial Conf'!$H122:$J122)</f>
        <v/>
      </c>
      <c r="K193" s="10">
        <f>IF(COUNT('Per-Trial Conf'!$H122:$J122)&gt;1,STDEV('Per-Trial Conf'!$H122:$J122)/SQRT(COUNT('Per-Trial Conf'!$H122:$J122)),0)</f>
        <v/>
      </c>
    </row>
    <row r="194">
      <c r="A194" s="3" t="inlineStr">
        <is>
          <t>4ZAU</t>
        </is>
      </c>
      <c r="B194" s="3" t="inlineStr">
        <is>
          <t>Osimertinib</t>
        </is>
      </c>
      <c r="C194" s="3" t="inlineStr">
        <is>
          <t>YY3+b</t>
        </is>
      </c>
      <c r="D194" s="10">
        <f>'Per-Trial Conf'!$D123</f>
        <v/>
      </c>
      <c r="E194" s="10">
        <f>IF(H194&gt;0,-$B$3*LN(H194),"")</f>
        <v/>
      </c>
      <c r="F194" s="10">
        <f>IF(E194="","",EXP(-E194/$B$3))</f>
        <v/>
      </c>
      <c r="G194" s="10">
        <f>IF(F194="","",F194/SUM(F$189:F$195))</f>
        <v/>
      </c>
      <c r="H194" s="10">
        <f>AVERAGE('Per-Trial Conf'!$E123:$G123)</f>
        <v/>
      </c>
      <c r="I194" s="10">
        <f>IF(COUNT('Per-Trial Conf'!$E123:$G123)&gt;1,STDEV('Per-Trial Conf'!$E123:$G123)/SQRT(COUNT('Per-Trial Conf'!$E123:$G123)),0)</f>
        <v/>
      </c>
      <c r="J194" s="10">
        <f>AVERAGE('Per-Trial Conf'!$H123:$J123)</f>
        <v/>
      </c>
      <c r="K194" s="10">
        <f>IF(COUNT('Per-Trial Conf'!$H123:$J123)&gt;1,STDEV('Per-Trial Conf'!$H123:$J123)/SQRT(COUNT('Per-Trial Conf'!$H123:$J123)),0)</f>
        <v/>
      </c>
    </row>
    <row r="195">
      <c r="A195" s="3" t="inlineStr">
        <is>
          <t>4ZAU</t>
        </is>
      </c>
      <c r="B195" s="3" t="inlineStr">
        <is>
          <t>Osimertinib</t>
        </is>
      </c>
      <c r="C195" s="3" t="inlineStr">
        <is>
          <t>YY301</t>
        </is>
      </c>
      <c r="D195" s="10">
        <f>'Per-Trial Conf'!$D124</f>
        <v/>
      </c>
      <c r="E195" s="10">
        <f>IF(H195&gt;0,-$B$3*LN(H195),"")</f>
        <v/>
      </c>
      <c r="F195" s="10">
        <f>IF(E195="","",EXP(-E195/$B$3))</f>
        <v/>
      </c>
      <c r="G195" s="10">
        <f>IF(F195="","",F195/SUM(F$189:F$195))</f>
        <v/>
      </c>
      <c r="H195" s="10">
        <f>AVERAGE('Per-Trial Conf'!$E124:$G124)</f>
        <v/>
      </c>
      <c r="I195" s="10">
        <f>IF(COUNT('Per-Trial Conf'!$E124:$G124)&gt;1,STDEV('Per-Trial Conf'!$E124:$G124)/SQRT(COUNT('Per-Trial Conf'!$E124:$G124)),0)</f>
        <v/>
      </c>
      <c r="J195" s="10">
        <f>AVERAGE('Per-Trial Conf'!$H124:$J124)</f>
        <v/>
      </c>
      <c r="K195" s="10">
        <f>IF(COUNT('Per-Trial Conf'!$H124:$J124)&gt;1,STDEV('Per-Trial Conf'!$H124:$J124)/SQRT(COUNT('Per-Trial Conf'!$H124:$J124)),0)</f>
        <v/>
      </c>
    </row>
    <row r="196">
      <c r="A196" s="6" t="n"/>
      <c r="B196" s="6" t="n"/>
      <c r="C196" s="6" t="inlineStr">
        <is>
          <t>SUM</t>
        </is>
      </c>
      <c r="D196" s="12" t="n"/>
      <c r="E196" s="12" t="n"/>
      <c r="F196" s="12">
        <f>SUM(F189:F195)</f>
        <v/>
      </c>
      <c r="G196" s="12">
        <f>SUM(G189:G195)</f>
        <v/>
      </c>
      <c r="H196" s="12">
        <f>SUM(H189:H195)</f>
        <v/>
      </c>
      <c r="I196" s="12" t="n"/>
      <c r="J196" s="12">
        <f>SUM(J189:J195)</f>
        <v/>
      </c>
      <c r="K196" s="12" t="n"/>
    </row>
    <row r="197">
      <c r="A197" s="6" t="n"/>
      <c r="B197" s="6" t="n"/>
      <c r="C197" s="6" t="inlineStr">
        <is>
          <t>ensemble charge</t>
        </is>
      </c>
      <c r="D197" s="12" t="n"/>
      <c r="E197" s="12" t="n"/>
      <c r="F197" s="12" t="n"/>
      <c r="G197" s="12">
        <f>SUMPRODUCT($D189:$D195,G189:G195)</f>
        <v/>
      </c>
      <c r="H197" s="12">
        <f>SUMPRODUCT($D189:$D195,H189:H195)</f>
        <v/>
      </c>
      <c r="I197" s="12" t="n"/>
      <c r="J197" s="12">
        <f>SUMPRODUCT($D189:$D195,J189:J195)</f>
        <v/>
      </c>
      <c r="K197" s="12" t="n"/>
    </row>
    <row r="199">
      <c r="A199" s="7" t="n"/>
      <c r="B199" s="8" t="inlineStr">
        <is>
          <t>JAK3</t>
        </is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3" t="inlineStr">
        <is>
          <t>3LXK</t>
        </is>
      </c>
      <c r="B200" s="3" t="inlineStr">
        <is>
          <t>Tofacitinib</t>
        </is>
      </c>
      <c r="C200" s="3" t="inlineStr">
        <is>
          <t>MI1+1</t>
        </is>
      </c>
      <c r="D200" s="10">
        <f>'Per-Trial Conf'!$D45</f>
        <v/>
      </c>
      <c r="E200" s="10">
        <f>IF(H200&gt;0,-$B$3*LN(H200),"")</f>
        <v/>
      </c>
      <c r="F200" s="10">
        <f>IF(E200="","",EXP(-E200/$B$3))</f>
        <v/>
      </c>
      <c r="G200" s="10">
        <f>IF(F200="","",F200/SUM(F$200:F$201))</f>
        <v/>
      </c>
      <c r="H200" s="10">
        <f>AVERAGE('Per-Trial Conf'!$E45:$G45)</f>
        <v/>
      </c>
      <c r="I200" s="10">
        <f>IF(COUNT('Per-Trial Conf'!$E45:$G45)&gt;1,STDEV('Per-Trial Conf'!$E45:$G45)/SQRT(COUNT('Per-Trial Conf'!$E45:$G45)),0)</f>
        <v/>
      </c>
      <c r="J200" s="10">
        <f>AVERAGE('Per-Trial Conf'!$H45:$J45)</f>
        <v/>
      </c>
      <c r="K200" s="10">
        <f>IF(COUNT('Per-Trial Conf'!$H45:$J45)&gt;1,STDEV('Per-Trial Conf'!$H45:$J45)/SQRT(COUNT('Per-Trial Conf'!$H45:$J45)),0)</f>
        <v/>
      </c>
    </row>
    <row r="201">
      <c r="A201" s="3" t="inlineStr">
        <is>
          <t>3LXK</t>
        </is>
      </c>
      <c r="B201" s="3" t="inlineStr">
        <is>
          <t>Tofacitinib</t>
        </is>
      </c>
      <c r="C201" s="3" t="inlineStr">
        <is>
          <t>MI101</t>
        </is>
      </c>
      <c r="D201" s="10">
        <f>'Per-Trial Conf'!$D46</f>
        <v/>
      </c>
      <c r="E201" s="10">
        <f>IF(H201&gt;0,-$B$3*LN(H201),"")</f>
        <v/>
      </c>
      <c r="F201" s="10">
        <f>IF(E201="","",EXP(-E201/$B$3))</f>
        <v/>
      </c>
      <c r="G201" s="10">
        <f>IF(F201="","",F201/SUM(F$200:F$201))</f>
        <v/>
      </c>
      <c r="H201" s="10">
        <f>AVERAGE('Per-Trial Conf'!$E46:$G46)</f>
        <v/>
      </c>
      <c r="I201" s="10">
        <f>IF(COUNT('Per-Trial Conf'!$E46:$G46)&gt;1,STDEV('Per-Trial Conf'!$E46:$G46)/SQRT(COUNT('Per-Trial Conf'!$E46:$G46)),0)</f>
        <v/>
      </c>
      <c r="J201" s="10">
        <f>AVERAGE('Per-Trial Conf'!$H46:$J46)</f>
        <v/>
      </c>
      <c r="K201" s="10">
        <f>IF(COUNT('Per-Trial Conf'!$H46:$J46)&gt;1,STDEV('Per-Trial Conf'!$H46:$J46)/SQRT(COUNT('Per-Trial Conf'!$H46:$J46)),0)</f>
        <v/>
      </c>
    </row>
    <row r="202">
      <c r="A202" s="6" t="n"/>
      <c r="B202" s="6" t="n"/>
      <c r="C202" s="6" t="inlineStr">
        <is>
          <t>SUM</t>
        </is>
      </c>
      <c r="D202" s="12" t="n"/>
      <c r="E202" s="12" t="n"/>
      <c r="F202" s="12">
        <f>SUM(F200:F201)</f>
        <v/>
      </c>
      <c r="G202" s="12">
        <f>SUM(G200:G201)</f>
        <v/>
      </c>
      <c r="H202" s="12">
        <f>SUM(H200:H201)</f>
        <v/>
      </c>
      <c r="I202" s="12" t="n"/>
      <c r="J202" s="12">
        <f>SUM(J200:J201)</f>
        <v/>
      </c>
      <c r="K202" s="12" t="n"/>
    </row>
    <row r="203">
      <c r="A203" s="6" t="n"/>
      <c r="B203" s="6" t="n"/>
      <c r="C203" s="6" t="inlineStr">
        <is>
          <t>ensemble charge</t>
        </is>
      </c>
      <c r="D203" s="12" t="n"/>
      <c r="E203" s="12" t="n"/>
      <c r="F203" s="12" t="n"/>
      <c r="G203" s="12">
        <f>SUMPRODUCT($D200:$D201,G200:G201)</f>
        <v/>
      </c>
      <c r="H203" s="12">
        <f>SUMPRODUCT($D200:$D201,H200:H201)</f>
        <v/>
      </c>
      <c r="I203" s="12" t="n"/>
      <c r="J203" s="12">
        <f>SUMPRODUCT($D200:$D201,J200:J201)</f>
        <v/>
      </c>
      <c r="K203" s="12" t="n"/>
    </row>
    <row r="205">
      <c r="A205" s="7" t="n"/>
      <c r="B205" s="8" t="inlineStr">
        <is>
          <t>MEK</t>
        </is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3" t="inlineStr">
        <is>
          <t>4AN2</t>
        </is>
      </c>
      <c r="B206" s="3" t="inlineStr">
        <is>
          <t>Cobimetinib</t>
        </is>
      </c>
      <c r="C206" s="3" t="inlineStr">
        <is>
          <t>EUI+1</t>
        </is>
      </c>
      <c r="D206" s="10">
        <f>'Per-Trial Conf'!$D81</f>
        <v/>
      </c>
      <c r="E206" s="10">
        <f>IF(H206&gt;0,-$B$3*LN(H206),"")</f>
        <v/>
      </c>
      <c r="F206" s="10">
        <f>IF(E206="","",EXP(-E206/$B$3))</f>
        <v/>
      </c>
      <c r="G206" s="10">
        <f>IF(F206="","",F206/SUM(F$206:F$208))</f>
        <v/>
      </c>
      <c r="H206" s="10">
        <f>AVERAGE('Per-Trial Conf'!$E81:$G81)</f>
        <v/>
      </c>
      <c r="I206" s="10">
        <f>IF(COUNT('Per-Trial Conf'!$E81:$G81)&gt;1,STDEV('Per-Trial Conf'!$E81:$G81)/SQRT(COUNT('Per-Trial Conf'!$E81:$G81)),0)</f>
        <v/>
      </c>
      <c r="J206" s="10">
        <f>AVERAGE('Per-Trial Conf'!$H81:$J81)</f>
        <v/>
      </c>
      <c r="K206" s="10">
        <f>IF(COUNT('Per-Trial Conf'!$H81:$J81)&gt;1,STDEV('Per-Trial Conf'!$H81:$J81)/SQRT(COUNT('Per-Trial Conf'!$H81:$J81)),0)</f>
        <v/>
      </c>
    </row>
    <row r="207">
      <c r="A207" s="3" t="inlineStr">
        <is>
          <t>4AN2</t>
        </is>
      </c>
      <c r="B207" s="3" t="inlineStr">
        <is>
          <t>Cobimetinib</t>
        </is>
      </c>
      <c r="C207" s="3" t="inlineStr">
        <is>
          <t>EUI01</t>
        </is>
      </c>
      <c r="D207" s="10">
        <f>'Per-Trial Conf'!$D82</f>
        <v/>
      </c>
      <c r="E207" s="10">
        <f>IF(H207&gt;0,-$B$3*LN(H207),"")</f>
        <v/>
      </c>
      <c r="F207" s="10">
        <f>IF(E207="","",EXP(-E207/$B$3))</f>
        <v/>
      </c>
      <c r="G207" s="10">
        <f>IF(F207="","",F207/SUM(F$206:F$208))</f>
        <v/>
      </c>
      <c r="H207" s="10">
        <f>AVERAGE('Per-Trial Conf'!$E82:$G82)</f>
        <v/>
      </c>
      <c r="I207" s="10">
        <f>IF(COUNT('Per-Trial Conf'!$E82:$G82)&gt;1,STDEV('Per-Trial Conf'!$E82:$G82)/SQRT(COUNT('Per-Trial Conf'!$E82:$G82)),0)</f>
        <v/>
      </c>
      <c r="J207" s="10">
        <f>AVERAGE('Per-Trial Conf'!$H82:$J82)</f>
        <v/>
      </c>
      <c r="K207" s="10">
        <f>IF(COUNT('Per-Trial Conf'!$H82:$J82)&gt;1,STDEV('Per-Trial Conf'!$H82:$J82)/SQRT(COUNT('Per-Trial Conf'!$H82:$J82)),0)</f>
        <v/>
      </c>
    </row>
    <row r="208">
      <c r="A208" s="3" t="inlineStr">
        <is>
          <t>4AN2</t>
        </is>
      </c>
      <c r="B208" s="3" t="inlineStr">
        <is>
          <t>Cobimetinib</t>
        </is>
      </c>
      <c r="C208" s="3" t="inlineStr">
        <is>
          <t>EUI02</t>
        </is>
      </c>
      <c r="D208" s="10">
        <f>'Per-Trial Conf'!$D83</f>
        <v/>
      </c>
      <c r="E208" s="10">
        <f>IF(H208&gt;0,-$B$3*LN(H208),"")</f>
        <v/>
      </c>
      <c r="F208" s="10">
        <f>IF(E208="","",EXP(-E208/$B$3))</f>
        <v/>
      </c>
      <c r="G208" s="10">
        <f>IF(F208="","",F208/SUM(F$206:F$208))</f>
        <v/>
      </c>
      <c r="H208" s="10">
        <f>AVERAGE('Per-Trial Conf'!$E83:$G83)</f>
        <v/>
      </c>
      <c r="I208" s="10">
        <f>IF(COUNT('Per-Trial Conf'!$E83:$G83)&gt;1,STDEV('Per-Trial Conf'!$E83:$G83)/SQRT(COUNT('Per-Trial Conf'!$E83:$G83)),0)</f>
        <v/>
      </c>
      <c r="J208" s="10">
        <f>AVERAGE('Per-Trial Conf'!$H83:$J83)</f>
        <v/>
      </c>
      <c r="K208" s="10">
        <f>IF(COUNT('Per-Trial Conf'!$H83:$J83)&gt;1,STDEV('Per-Trial Conf'!$H83:$J83)/SQRT(COUNT('Per-Trial Conf'!$H83:$J83)),0)</f>
        <v/>
      </c>
    </row>
    <row r="209">
      <c r="A209" s="6" t="n"/>
      <c r="B209" s="6" t="n"/>
      <c r="C209" s="6" t="inlineStr">
        <is>
          <t>SUM</t>
        </is>
      </c>
      <c r="D209" s="12" t="n"/>
      <c r="E209" s="12" t="n"/>
      <c r="F209" s="12">
        <f>SUM(F206:F208)</f>
        <v/>
      </c>
      <c r="G209" s="12">
        <f>SUM(G206:G208)</f>
        <v/>
      </c>
      <c r="H209" s="12">
        <f>SUM(H206:H208)</f>
        <v/>
      </c>
      <c r="I209" s="12" t="n"/>
      <c r="J209" s="12">
        <f>SUM(J206:J208)</f>
        <v/>
      </c>
      <c r="K209" s="12" t="n"/>
    </row>
    <row r="210">
      <c r="A210" s="6" t="n"/>
      <c r="B210" s="6" t="n"/>
      <c r="C210" s="6" t="inlineStr">
        <is>
          <t>ensemble charge</t>
        </is>
      </c>
      <c r="D210" s="12" t="n"/>
      <c r="E210" s="12" t="n"/>
      <c r="F210" s="12" t="n"/>
      <c r="G210" s="12">
        <f>SUMPRODUCT($D206:$D208,G206:G208)</f>
        <v/>
      </c>
      <c r="H210" s="12">
        <f>SUMPRODUCT($D206:$D208,H206:H208)</f>
        <v/>
      </c>
      <c r="I210" s="12" t="n"/>
      <c r="J210" s="12">
        <f>SUMPRODUCT($D206:$D208,J206:J208)</f>
        <v/>
      </c>
      <c r="K210" s="12" t="n"/>
    </row>
    <row r="212">
      <c r="A212" s="3" t="inlineStr">
        <is>
          <t>4LMN</t>
        </is>
      </c>
      <c r="B212" s="3" t="inlineStr">
        <is>
          <t>Cobimetinib</t>
        </is>
      </c>
      <c r="C212" s="3" t="inlineStr">
        <is>
          <t>EUI+1</t>
        </is>
      </c>
      <c r="D212" s="10">
        <f>'Per-Trial Conf'!$D107</f>
        <v/>
      </c>
      <c r="E212" s="10">
        <f>IF(H212&gt;0,-$B$3*LN(H212),"")</f>
        <v/>
      </c>
      <c r="F212" s="10">
        <f>IF(E212="","",EXP(-E212/$B$3))</f>
        <v/>
      </c>
      <c r="G212" s="10">
        <f>IF(F212="","",F212/SUM(F$212:F$214))</f>
        <v/>
      </c>
      <c r="H212" s="10">
        <f>AVERAGE('Per-Trial Conf'!$E107:$G107)</f>
        <v/>
      </c>
      <c r="I212" s="10">
        <f>IF(COUNT('Per-Trial Conf'!$E107:$G107)&gt;1,STDEV('Per-Trial Conf'!$E107:$G107)/SQRT(COUNT('Per-Trial Conf'!$E107:$G107)),0)</f>
        <v/>
      </c>
      <c r="J212" s="10">
        <f>AVERAGE('Per-Trial Conf'!$H107:$J107)</f>
        <v/>
      </c>
      <c r="K212" s="10">
        <f>IF(COUNT('Per-Trial Conf'!$H107:$J107)&gt;1,STDEV('Per-Trial Conf'!$H107:$J107)/SQRT(COUNT('Per-Trial Conf'!$H107:$J107)),0)</f>
        <v/>
      </c>
    </row>
    <row r="213">
      <c r="A213" s="3" t="inlineStr">
        <is>
          <t>4LMN</t>
        </is>
      </c>
      <c r="B213" s="3" t="inlineStr">
        <is>
          <t>Cobimetinib</t>
        </is>
      </c>
      <c r="C213" s="3" t="inlineStr">
        <is>
          <t>EUI01</t>
        </is>
      </c>
      <c r="D213" s="10">
        <f>'Per-Trial Conf'!$D108</f>
        <v/>
      </c>
      <c r="E213" s="10">
        <f>IF(H213&gt;0,-$B$3*LN(H213),"")</f>
        <v/>
      </c>
      <c r="F213" s="10">
        <f>IF(E213="","",EXP(-E213/$B$3))</f>
        <v/>
      </c>
      <c r="G213" s="10">
        <f>IF(F213="","",F213/SUM(F$212:F$214))</f>
        <v/>
      </c>
      <c r="H213" s="10">
        <f>AVERAGE('Per-Trial Conf'!$E108:$G108)</f>
        <v/>
      </c>
      <c r="I213" s="10">
        <f>IF(COUNT('Per-Trial Conf'!$E108:$G108)&gt;1,STDEV('Per-Trial Conf'!$E108:$G108)/SQRT(COUNT('Per-Trial Conf'!$E108:$G108)),0)</f>
        <v/>
      </c>
      <c r="J213" s="10">
        <f>AVERAGE('Per-Trial Conf'!$H108:$J108)</f>
        <v/>
      </c>
      <c r="K213" s="10">
        <f>IF(COUNT('Per-Trial Conf'!$H108:$J108)&gt;1,STDEV('Per-Trial Conf'!$H108:$J108)/SQRT(COUNT('Per-Trial Conf'!$H108:$J108)),0)</f>
        <v/>
      </c>
    </row>
    <row r="214">
      <c r="A214" s="3" t="inlineStr">
        <is>
          <t>4LMN</t>
        </is>
      </c>
      <c r="B214" s="3" t="inlineStr">
        <is>
          <t>Cobimetinib</t>
        </is>
      </c>
      <c r="C214" s="3" t="inlineStr">
        <is>
          <t>EUI02</t>
        </is>
      </c>
      <c r="D214" s="10">
        <f>'Per-Trial Conf'!$D109</f>
        <v/>
      </c>
      <c r="E214" s="10">
        <f>IF(H214&gt;0,-$B$3*LN(H214),"")</f>
        <v/>
      </c>
      <c r="F214" s="10">
        <f>IF(E214="","",EXP(-E214/$B$3))</f>
        <v/>
      </c>
      <c r="G214" s="10">
        <f>IF(F214="","",F214/SUM(F$212:F$214))</f>
        <v/>
      </c>
      <c r="H214" s="10">
        <f>AVERAGE('Per-Trial Conf'!$E109:$G109)</f>
        <v/>
      </c>
      <c r="I214" s="10">
        <f>IF(COUNT('Per-Trial Conf'!$E109:$G109)&gt;1,STDEV('Per-Trial Conf'!$E109:$G109)/SQRT(COUNT('Per-Trial Conf'!$E109:$G109)),0)</f>
        <v/>
      </c>
      <c r="J214" s="10">
        <f>AVERAGE('Per-Trial Conf'!$H109:$J109)</f>
        <v/>
      </c>
      <c r="K214" s="10">
        <f>IF(COUNT('Per-Trial Conf'!$H109:$J109)&gt;1,STDEV('Per-Trial Conf'!$H109:$J109)/SQRT(COUNT('Per-Trial Conf'!$H109:$J109)),0)</f>
        <v/>
      </c>
    </row>
    <row r="215">
      <c r="A215" s="6" t="n"/>
      <c r="B215" s="6" t="n"/>
      <c r="C215" s="6" t="inlineStr">
        <is>
          <t>SUM</t>
        </is>
      </c>
      <c r="D215" s="12" t="n"/>
      <c r="E215" s="12" t="n"/>
      <c r="F215" s="12">
        <f>SUM(F212:F214)</f>
        <v/>
      </c>
      <c r="G215" s="12">
        <f>SUM(G212:G214)</f>
        <v/>
      </c>
      <c r="H215" s="12">
        <f>SUM(H212:H214)</f>
        <v/>
      </c>
      <c r="I215" s="12" t="n"/>
      <c r="J215" s="12">
        <f>SUM(J212:J214)</f>
        <v/>
      </c>
      <c r="K215" s="12" t="n"/>
    </row>
    <row r="216">
      <c r="A216" s="6" t="n"/>
      <c r="B216" s="6" t="n"/>
      <c r="C216" s="6" t="inlineStr">
        <is>
          <t>ensemble charge</t>
        </is>
      </c>
      <c r="D216" s="12" t="n"/>
      <c r="E216" s="12" t="n"/>
      <c r="F216" s="12" t="n"/>
      <c r="G216" s="12">
        <f>SUMPRODUCT($D212:$D214,G212:G214)</f>
        <v/>
      </c>
      <c r="H216" s="12">
        <f>SUMPRODUCT($D212:$D214,H212:H214)</f>
        <v/>
      </c>
      <c r="I216" s="12" t="n"/>
      <c r="J216" s="12">
        <f>SUMPRODUCT($D212:$D214,J212:J214)</f>
        <v/>
      </c>
      <c r="K216" s="12" t="n"/>
    </row>
    <row r="218">
      <c r="A218" s="7" t="n"/>
      <c r="B218" s="8" t="inlineStr">
        <is>
          <t>MET</t>
        </is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3" t="inlineStr">
        <is>
          <t>2WGJ</t>
        </is>
      </c>
      <c r="B219" s="3" t="inlineStr">
        <is>
          <t>Crizotinib</t>
        </is>
      </c>
      <c r="C219" s="3" t="inlineStr">
        <is>
          <t>VGH+1</t>
        </is>
      </c>
      <c r="D219" s="10">
        <f>'Per-Trial Conf'!$D28</f>
        <v/>
      </c>
      <c r="E219" s="10">
        <f>IF(H219&gt;0,-$B$3*LN(H219),"")</f>
        <v/>
      </c>
      <c r="F219" s="10">
        <f>IF(E219="","",EXP(-E219/$B$3))</f>
        <v/>
      </c>
      <c r="G219" s="10">
        <f>IF(F219="","",F219/SUM(F$219:F$222))</f>
        <v/>
      </c>
      <c r="H219" s="10">
        <f>AVERAGE('Per-Trial Conf'!$E28:$G28)</f>
        <v/>
      </c>
      <c r="I219" s="10">
        <f>IF(COUNT('Per-Trial Conf'!$E28:$G28)&gt;1,STDEV('Per-Trial Conf'!$E28:$G28)/SQRT(COUNT('Per-Trial Conf'!$E28:$G28)),0)</f>
        <v/>
      </c>
      <c r="J219" s="10">
        <f>AVERAGE('Per-Trial Conf'!$H28:$J28)</f>
        <v/>
      </c>
      <c r="K219" s="10">
        <f>IF(COUNT('Per-Trial Conf'!$H28:$J28)&gt;1,STDEV('Per-Trial Conf'!$H28:$J28)/SQRT(COUNT('Per-Trial Conf'!$H28:$J28)),0)</f>
        <v/>
      </c>
    </row>
    <row r="220">
      <c r="A220" s="3" t="inlineStr">
        <is>
          <t>2WGJ</t>
        </is>
      </c>
      <c r="B220" s="3" t="inlineStr">
        <is>
          <t>Crizotinib</t>
        </is>
      </c>
      <c r="C220" s="3" t="inlineStr">
        <is>
          <t>VGH+2</t>
        </is>
      </c>
      <c r="D220" s="10">
        <f>'Per-Trial Conf'!$D29</f>
        <v/>
      </c>
      <c r="E220" s="10">
        <f>IF(H220&gt;0,-$B$3*LN(H220),"")</f>
        <v/>
      </c>
      <c r="F220" s="10">
        <f>IF(E220="","",EXP(-E220/$B$3))</f>
        <v/>
      </c>
      <c r="G220" s="10">
        <f>IF(F220="","",F220/SUM(F$219:F$222))</f>
        <v/>
      </c>
      <c r="H220" s="10">
        <f>AVERAGE('Per-Trial Conf'!$E29:$G29)</f>
        <v/>
      </c>
      <c r="I220" s="10">
        <f>IF(COUNT('Per-Trial Conf'!$E29:$G29)&gt;1,STDEV('Per-Trial Conf'!$E29:$G29)/SQRT(COUNT('Per-Trial Conf'!$E29:$G29)),0)</f>
        <v/>
      </c>
      <c r="J220" s="10">
        <f>AVERAGE('Per-Trial Conf'!$H29:$J29)</f>
        <v/>
      </c>
      <c r="K220" s="10">
        <f>IF(COUNT('Per-Trial Conf'!$H29:$J29)&gt;1,STDEV('Per-Trial Conf'!$H29:$J29)/SQRT(COUNT('Per-Trial Conf'!$H29:$J29)),0)</f>
        <v/>
      </c>
    </row>
    <row r="221">
      <c r="A221" s="3" t="inlineStr">
        <is>
          <t>2WGJ</t>
        </is>
      </c>
      <c r="B221" s="3" t="inlineStr">
        <is>
          <t>Crizotinib</t>
        </is>
      </c>
      <c r="C221" s="3" t="inlineStr">
        <is>
          <t>VGH+a</t>
        </is>
      </c>
      <c r="D221" s="10">
        <f>'Per-Trial Conf'!$D30</f>
        <v/>
      </c>
      <c r="E221" s="10">
        <f>IF(H221&gt;0,-$B$3*LN(H221),"")</f>
        <v/>
      </c>
      <c r="F221" s="10">
        <f>IF(E221="","",EXP(-E221/$B$3))</f>
        <v/>
      </c>
      <c r="G221" s="10">
        <f>IF(F221="","",F221/SUM(F$219:F$222))</f>
        <v/>
      </c>
      <c r="H221" s="10">
        <f>AVERAGE('Per-Trial Conf'!$E30:$G30)</f>
        <v/>
      </c>
      <c r="I221" s="10">
        <f>IF(COUNT('Per-Trial Conf'!$E30:$G30)&gt;1,STDEV('Per-Trial Conf'!$E30:$G30)/SQRT(COUNT('Per-Trial Conf'!$E30:$G30)),0)</f>
        <v/>
      </c>
      <c r="J221" s="10">
        <f>AVERAGE('Per-Trial Conf'!$H30:$J30)</f>
        <v/>
      </c>
      <c r="K221" s="10">
        <f>IF(COUNT('Per-Trial Conf'!$H30:$J30)&gt;1,STDEV('Per-Trial Conf'!$H30:$J30)/SQRT(COUNT('Per-Trial Conf'!$H30:$J30)),0)</f>
        <v/>
      </c>
    </row>
    <row r="222">
      <c r="A222" s="3" t="inlineStr">
        <is>
          <t>2WGJ</t>
        </is>
      </c>
      <c r="B222" s="3" t="inlineStr">
        <is>
          <t>Crizotinib</t>
        </is>
      </c>
      <c r="C222" s="3" t="inlineStr">
        <is>
          <t>VGH01</t>
        </is>
      </c>
      <c r="D222" s="10">
        <f>'Per-Trial Conf'!$D31</f>
        <v/>
      </c>
      <c r="E222" s="10">
        <f>IF(H222&gt;0,-$B$3*LN(H222),"")</f>
        <v/>
      </c>
      <c r="F222" s="10">
        <f>IF(E222="","",EXP(-E222/$B$3))</f>
        <v/>
      </c>
      <c r="G222" s="10">
        <f>IF(F222="","",F222/SUM(F$219:F$222))</f>
        <v/>
      </c>
      <c r="H222" s="10">
        <f>AVERAGE('Per-Trial Conf'!$E31:$G31)</f>
        <v/>
      </c>
      <c r="I222" s="10">
        <f>IF(COUNT('Per-Trial Conf'!$E31:$G31)&gt;1,STDEV('Per-Trial Conf'!$E31:$G31)/SQRT(COUNT('Per-Trial Conf'!$E31:$G31)),0)</f>
        <v/>
      </c>
      <c r="J222" s="10">
        <f>AVERAGE('Per-Trial Conf'!$H31:$J31)</f>
        <v/>
      </c>
      <c r="K222" s="10">
        <f>IF(COUNT('Per-Trial Conf'!$H31:$J31)&gt;1,STDEV('Per-Trial Conf'!$H31:$J31)/SQRT(COUNT('Per-Trial Conf'!$H31:$J31)),0)</f>
        <v/>
      </c>
    </row>
    <row r="223">
      <c r="A223" s="6" t="n"/>
      <c r="B223" s="6" t="n"/>
      <c r="C223" s="6" t="inlineStr">
        <is>
          <t>SUM</t>
        </is>
      </c>
      <c r="D223" s="12" t="n"/>
      <c r="E223" s="12" t="n"/>
      <c r="F223" s="12">
        <f>SUM(F219:F222)</f>
        <v/>
      </c>
      <c r="G223" s="12">
        <f>SUM(G219:G222)</f>
        <v/>
      </c>
      <c r="H223" s="12">
        <f>SUM(H219:H222)</f>
        <v/>
      </c>
      <c r="I223" s="12" t="n"/>
      <c r="J223" s="12">
        <f>SUM(J219:J222)</f>
        <v/>
      </c>
      <c r="K223" s="12" t="n"/>
    </row>
    <row r="224">
      <c r="A224" s="6" t="n"/>
      <c r="B224" s="6" t="n"/>
      <c r="C224" s="6" t="inlineStr">
        <is>
          <t>ensemble charge</t>
        </is>
      </c>
      <c r="D224" s="12" t="n"/>
      <c r="E224" s="12" t="n"/>
      <c r="F224" s="12" t="n"/>
      <c r="G224" s="12">
        <f>SUMPRODUCT($D219:$D222,G219:G222)</f>
        <v/>
      </c>
      <c r="H224" s="12">
        <f>SUMPRODUCT($D219:$D222,H219:H222)</f>
        <v/>
      </c>
      <c r="I224" s="12" t="n"/>
      <c r="J224" s="12">
        <f>SUMPRODUCT($D219:$D222,J219:J222)</f>
        <v/>
      </c>
      <c r="K224" s="12" t="n"/>
    </row>
    <row r="226">
      <c r="A226" s="7" t="n"/>
      <c r="B226" s="8" t="inlineStr">
        <is>
          <t>VGFR</t>
        </is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3" t="inlineStr">
        <is>
          <t>4AG8</t>
        </is>
      </c>
      <c r="B227" s="3" t="inlineStr">
        <is>
          <t>Axitinib</t>
        </is>
      </c>
      <c r="C227" s="3" t="inlineStr">
        <is>
          <t>AXI+1</t>
        </is>
      </c>
      <c r="D227" s="10">
        <f>'Per-Trial Conf'!$D71</f>
        <v/>
      </c>
      <c r="E227" s="10">
        <f>IF(H227&gt;0,-$B$3*LN(H227),"")</f>
        <v/>
      </c>
      <c r="F227" s="10">
        <f>IF(E227="","",EXP(-E227/$B$3))</f>
        <v/>
      </c>
      <c r="G227" s="10">
        <f>IF(F227="","",F227/SUM(F$227:F$229))</f>
        <v/>
      </c>
      <c r="H227" s="10">
        <f>AVERAGE('Per-Trial Conf'!$E71:$G71)</f>
        <v/>
      </c>
      <c r="I227" s="10">
        <f>IF(COUNT('Per-Trial Conf'!$E71:$G71)&gt;1,STDEV('Per-Trial Conf'!$E71:$G71)/SQRT(COUNT('Per-Trial Conf'!$E71:$G71)),0)</f>
        <v/>
      </c>
      <c r="J227" s="10">
        <f>AVERAGE('Per-Trial Conf'!$H71:$J71)</f>
        <v/>
      </c>
      <c r="K227" s="10">
        <f>IF(COUNT('Per-Trial Conf'!$H71:$J71)&gt;1,STDEV('Per-Trial Conf'!$H71:$J71)/SQRT(COUNT('Per-Trial Conf'!$H71:$J71)),0)</f>
        <v/>
      </c>
    </row>
    <row r="228">
      <c r="A228" s="3" t="inlineStr">
        <is>
          <t>4AG8</t>
        </is>
      </c>
      <c r="B228" s="3" t="inlineStr">
        <is>
          <t>Axitinib</t>
        </is>
      </c>
      <c r="C228" s="3" t="inlineStr">
        <is>
          <t>AXI01</t>
        </is>
      </c>
      <c r="D228" s="10">
        <f>'Per-Trial Conf'!$D72</f>
        <v/>
      </c>
      <c r="E228" s="10">
        <f>IF(H228&gt;0,-$B$3*LN(H228),"")</f>
        <v/>
      </c>
      <c r="F228" s="10">
        <f>IF(E228="","",EXP(-E228/$B$3))</f>
        <v/>
      </c>
      <c r="G228" s="10">
        <f>IF(F228="","",F228/SUM(F$227:F$229))</f>
        <v/>
      </c>
      <c r="H228" s="10">
        <f>AVERAGE('Per-Trial Conf'!$E72:$G72)</f>
        <v/>
      </c>
      <c r="I228" s="10">
        <f>IF(COUNT('Per-Trial Conf'!$E72:$G72)&gt;1,STDEV('Per-Trial Conf'!$E72:$G72)/SQRT(COUNT('Per-Trial Conf'!$E72:$G72)),0)</f>
        <v/>
      </c>
      <c r="J228" s="10">
        <f>AVERAGE('Per-Trial Conf'!$H72:$J72)</f>
        <v/>
      </c>
      <c r="K228" s="10">
        <f>IF(COUNT('Per-Trial Conf'!$H72:$J72)&gt;1,STDEV('Per-Trial Conf'!$H72:$J72)/SQRT(COUNT('Per-Trial Conf'!$H72:$J72)),0)</f>
        <v/>
      </c>
    </row>
    <row r="229">
      <c r="A229" s="3" t="inlineStr">
        <is>
          <t>4AG8</t>
        </is>
      </c>
      <c r="B229" s="3" t="inlineStr">
        <is>
          <t>Axitinib</t>
        </is>
      </c>
      <c r="C229" s="3" t="inlineStr">
        <is>
          <t>AXI02</t>
        </is>
      </c>
      <c r="D229" s="10">
        <f>'Per-Trial Conf'!$D73</f>
        <v/>
      </c>
      <c r="E229" s="10">
        <f>IF(H229&gt;0,-$B$3*LN(H229),"")</f>
        <v/>
      </c>
      <c r="F229" s="10">
        <f>IF(E229="","",EXP(-E229/$B$3))</f>
        <v/>
      </c>
      <c r="G229" s="10">
        <f>IF(F229="","",F229/SUM(F$227:F$229))</f>
        <v/>
      </c>
      <c r="H229" s="10">
        <f>AVERAGE('Per-Trial Conf'!$E73:$G73)</f>
        <v/>
      </c>
      <c r="I229" s="10">
        <f>IF(COUNT('Per-Trial Conf'!$E73:$G73)&gt;1,STDEV('Per-Trial Conf'!$E73:$G73)/SQRT(COUNT('Per-Trial Conf'!$E73:$G73)),0)</f>
        <v/>
      </c>
      <c r="J229" s="10">
        <f>AVERAGE('Per-Trial Conf'!$H73:$J73)</f>
        <v/>
      </c>
      <c r="K229" s="10">
        <f>IF(COUNT('Per-Trial Conf'!$H73:$J73)&gt;1,STDEV('Per-Trial Conf'!$H73:$J73)/SQRT(COUNT('Per-Trial Conf'!$H73:$J73)),0)</f>
        <v/>
      </c>
    </row>
    <row r="230">
      <c r="A230" s="6" t="n"/>
      <c r="B230" s="6" t="n"/>
      <c r="C230" s="6" t="inlineStr">
        <is>
          <t>SUM</t>
        </is>
      </c>
      <c r="D230" s="12" t="n"/>
      <c r="E230" s="12" t="n"/>
      <c r="F230" s="12">
        <f>SUM(F227:F229)</f>
        <v/>
      </c>
      <c r="G230" s="12">
        <f>SUM(G227:G229)</f>
        <v/>
      </c>
      <c r="H230" s="12">
        <f>SUM(H227:H229)</f>
        <v/>
      </c>
      <c r="I230" s="12" t="n"/>
      <c r="J230" s="12">
        <f>SUM(J227:J229)</f>
        <v/>
      </c>
      <c r="K230" s="12" t="n"/>
    </row>
    <row r="231">
      <c r="A231" s="6" t="n"/>
      <c r="B231" s="6" t="n"/>
      <c r="C231" s="6" t="inlineStr">
        <is>
          <t>ensemble charge</t>
        </is>
      </c>
      <c r="D231" s="12" t="n"/>
      <c r="E231" s="12" t="n"/>
      <c r="F231" s="12" t="n"/>
      <c r="G231" s="12">
        <f>SUMPRODUCT($D227:$D229,G227:G229)</f>
        <v/>
      </c>
      <c r="H231" s="12">
        <f>SUMPRODUCT($D227:$D229,H227:H229)</f>
        <v/>
      </c>
      <c r="I231" s="12" t="n"/>
      <c r="J231" s="12">
        <f>SUMPRODUCT($D227:$D229,J227:J229)</f>
        <v/>
      </c>
      <c r="K231" s="12" t="n"/>
    </row>
    <row r="233">
      <c r="A233" s="3" t="inlineStr">
        <is>
          <t>4AGC</t>
        </is>
      </c>
      <c r="B233" s="3" t="inlineStr">
        <is>
          <t>Axitinib</t>
        </is>
      </c>
      <c r="C233" s="3" t="inlineStr">
        <is>
          <t>AXI+1</t>
        </is>
      </c>
      <c r="D233" s="10">
        <f>'Per-Trial Conf'!$D74</f>
        <v/>
      </c>
      <c r="E233" s="10">
        <f>IF(H233&gt;0,-$B$3*LN(H233),"")</f>
        <v/>
      </c>
      <c r="F233" s="10">
        <f>IF(E233="","",EXP(-E233/$B$3))</f>
        <v/>
      </c>
      <c r="G233" s="10">
        <f>IF(F233="","",F233/SUM(F$233:F$235))</f>
        <v/>
      </c>
      <c r="H233" s="10">
        <f>AVERAGE('Per-Trial Conf'!$E74:$G74)</f>
        <v/>
      </c>
      <c r="I233" s="10">
        <f>IF(COUNT('Per-Trial Conf'!$E74:$G74)&gt;1,STDEV('Per-Trial Conf'!$E74:$G74)/SQRT(COUNT('Per-Trial Conf'!$E74:$G74)),0)</f>
        <v/>
      </c>
      <c r="J233" s="10">
        <f>AVERAGE('Per-Trial Conf'!$H74:$J74)</f>
        <v/>
      </c>
      <c r="K233" s="10">
        <f>IF(COUNT('Per-Trial Conf'!$H74:$J74)&gt;1,STDEV('Per-Trial Conf'!$H74:$J74)/SQRT(COUNT('Per-Trial Conf'!$H74:$J74)),0)</f>
        <v/>
      </c>
    </row>
    <row r="234">
      <c r="A234" s="3" t="inlineStr">
        <is>
          <t>4AGC</t>
        </is>
      </c>
      <c r="B234" s="3" t="inlineStr">
        <is>
          <t>Axitinib</t>
        </is>
      </c>
      <c r="C234" s="3" t="inlineStr">
        <is>
          <t>AXI01</t>
        </is>
      </c>
      <c r="D234" s="10">
        <f>'Per-Trial Conf'!$D75</f>
        <v/>
      </c>
      <c r="E234" s="10">
        <f>IF(H234&gt;0,-$B$3*LN(H234),"")</f>
        <v/>
      </c>
      <c r="F234" s="10">
        <f>IF(E234="","",EXP(-E234/$B$3))</f>
        <v/>
      </c>
      <c r="G234" s="10">
        <f>IF(F234="","",F234/SUM(F$233:F$235))</f>
        <v/>
      </c>
      <c r="H234" s="10">
        <f>AVERAGE('Per-Trial Conf'!$E75:$G75)</f>
        <v/>
      </c>
      <c r="I234" s="10">
        <f>IF(COUNT('Per-Trial Conf'!$E75:$G75)&gt;1,STDEV('Per-Trial Conf'!$E75:$G75)/SQRT(COUNT('Per-Trial Conf'!$E75:$G75)),0)</f>
        <v/>
      </c>
      <c r="J234" s="10">
        <f>AVERAGE('Per-Trial Conf'!$H75:$J75)</f>
        <v/>
      </c>
      <c r="K234" s="10">
        <f>IF(COUNT('Per-Trial Conf'!$H75:$J75)&gt;1,STDEV('Per-Trial Conf'!$H75:$J75)/SQRT(COUNT('Per-Trial Conf'!$H75:$J75)),0)</f>
        <v/>
      </c>
    </row>
    <row r="235">
      <c r="A235" s="3" t="inlineStr">
        <is>
          <t>4AGC</t>
        </is>
      </c>
      <c r="B235" s="3" t="inlineStr">
        <is>
          <t>Axitinib</t>
        </is>
      </c>
      <c r="C235" s="3" t="inlineStr">
        <is>
          <t>AXI02</t>
        </is>
      </c>
      <c r="D235" s="10">
        <f>'Per-Trial Conf'!$D76</f>
        <v/>
      </c>
      <c r="E235" s="10">
        <f>IF(H235&gt;0,-$B$3*LN(H235),"")</f>
        <v/>
      </c>
      <c r="F235" s="10">
        <f>IF(E235="","",EXP(-E235/$B$3))</f>
        <v/>
      </c>
      <c r="G235" s="10">
        <f>IF(F235="","",F235/SUM(F$233:F$235))</f>
        <v/>
      </c>
      <c r="H235" s="10">
        <f>AVERAGE('Per-Trial Conf'!$E76:$G76)</f>
        <v/>
      </c>
      <c r="I235" s="10">
        <f>IF(COUNT('Per-Trial Conf'!$E76:$G76)&gt;1,STDEV('Per-Trial Conf'!$E76:$G76)/SQRT(COUNT('Per-Trial Conf'!$E76:$G76)),0)</f>
        <v/>
      </c>
      <c r="J235" s="10">
        <f>AVERAGE('Per-Trial Conf'!$H76:$J76)</f>
        <v/>
      </c>
      <c r="K235" s="10">
        <f>IF(COUNT('Per-Trial Conf'!$H76:$J76)&gt;1,STDEV('Per-Trial Conf'!$H76:$J76)/SQRT(COUNT('Per-Trial Conf'!$H76:$J76)),0)</f>
        <v/>
      </c>
    </row>
    <row r="236">
      <c r="A236" s="6" t="n"/>
      <c r="B236" s="6" t="n"/>
      <c r="C236" s="6" t="inlineStr">
        <is>
          <t>SUM</t>
        </is>
      </c>
      <c r="D236" s="12" t="n"/>
      <c r="E236" s="12" t="n"/>
      <c r="F236" s="12">
        <f>SUM(F233:F235)</f>
        <v/>
      </c>
      <c r="G236" s="12">
        <f>SUM(G233:G235)</f>
        <v/>
      </c>
      <c r="H236" s="12">
        <f>SUM(H233:H235)</f>
        <v/>
      </c>
      <c r="I236" s="12" t="n"/>
      <c r="J236" s="12">
        <f>SUM(J233:J235)</f>
        <v/>
      </c>
      <c r="K236" s="12" t="n"/>
    </row>
    <row r="237">
      <c r="A237" s="6" t="n"/>
      <c r="B237" s="6" t="n"/>
      <c r="C237" s="6" t="inlineStr">
        <is>
          <t>ensemble charge</t>
        </is>
      </c>
      <c r="D237" s="12" t="n"/>
      <c r="E237" s="12" t="n"/>
      <c r="F237" s="12" t="n"/>
      <c r="G237" s="12">
        <f>SUMPRODUCT($D233:$D235,G233:G235)</f>
        <v/>
      </c>
      <c r="H237" s="12">
        <f>SUMPRODUCT($D233:$D235,H233:H235)</f>
        <v/>
      </c>
      <c r="I237" s="12" t="n"/>
      <c r="J237" s="12">
        <f>SUMPRODUCT($D233:$D235,J233:J235)</f>
        <v/>
      </c>
      <c r="K237" s="12" t="n"/>
    </row>
    <row r="239">
      <c r="A239" s="3" t="inlineStr">
        <is>
          <t>3WZD</t>
        </is>
      </c>
      <c r="B239" s="3" t="inlineStr">
        <is>
          <t>Lenvatinib</t>
        </is>
      </c>
      <c r="C239" s="3" t="inlineStr">
        <is>
          <t>LEV-1</t>
        </is>
      </c>
      <c r="D239" s="10">
        <f>'Per-Trial Conf'!$D61</f>
        <v/>
      </c>
      <c r="E239" s="10">
        <f>IF(H239&gt;0,-$B$3*LN(H239),"")</f>
        <v/>
      </c>
      <c r="F239" s="10">
        <f>IF(E239="","",EXP(-E239/$B$3))</f>
        <v/>
      </c>
      <c r="G239" s="10">
        <f>IF(F239="","",F239/SUM(F$239:F$241))</f>
        <v/>
      </c>
      <c r="H239" s="10">
        <f>AVERAGE('Per-Trial Conf'!$E61:$G61)</f>
        <v/>
      </c>
      <c r="I239" s="10">
        <f>IF(COUNT('Per-Trial Conf'!$E61:$G61)&gt;1,STDEV('Per-Trial Conf'!$E61:$G61)/SQRT(COUNT('Per-Trial Conf'!$E61:$G61)),0)</f>
        <v/>
      </c>
      <c r="J239" s="10">
        <f>AVERAGE('Per-Trial Conf'!$H61:$J61)</f>
        <v/>
      </c>
      <c r="K239" s="10">
        <f>IF(COUNT('Per-Trial Conf'!$H61:$J61)&gt;1,STDEV('Per-Trial Conf'!$H61:$J61)/SQRT(COUNT('Per-Trial Conf'!$H61:$J61)),0)</f>
        <v/>
      </c>
    </row>
    <row r="240">
      <c r="A240" s="3" t="inlineStr">
        <is>
          <t>3WZD</t>
        </is>
      </c>
      <c r="B240" s="3" t="inlineStr">
        <is>
          <t>Lenvatinib</t>
        </is>
      </c>
      <c r="C240" s="3" t="inlineStr">
        <is>
          <t>LEV-2</t>
        </is>
      </c>
      <c r="D240" s="10">
        <f>'Per-Trial Conf'!$D62</f>
        <v/>
      </c>
      <c r="E240" s="10">
        <f>IF(H240&gt;0,-$B$3*LN(H240),"")</f>
        <v/>
      </c>
      <c r="F240" s="10">
        <f>IF(E240="","",EXP(-E240/$B$3))</f>
        <v/>
      </c>
      <c r="G240" s="10">
        <f>IF(F240="","",F240/SUM(F$239:F$241))</f>
        <v/>
      </c>
      <c r="H240" s="10">
        <f>AVERAGE('Per-Trial Conf'!$E62:$G62)</f>
        <v/>
      </c>
      <c r="I240" s="10">
        <f>IF(COUNT('Per-Trial Conf'!$E62:$G62)&gt;1,STDEV('Per-Trial Conf'!$E62:$G62)/SQRT(COUNT('Per-Trial Conf'!$E62:$G62)),0)</f>
        <v/>
      </c>
      <c r="J240" s="10">
        <f>AVERAGE('Per-Trial Conf'!$H62:$J62)</f>
        <v/>
      </c>
      <c r="K240" s="10">
        <f>IF(COUNT('Per-Trial Conf'!$H62:$J62)&gt;1,STDEV('Per-Trial Conf'!$H62:$J62)/SQRT(COUNT('Per-Trial Conf'!$H62:$J62)),0)</f>
        <v/>
      </c>
    </row>
    <row r="241">
      <c r="A241" s="3" t="inlineStr">
        <is>
          <t>3WZD</t>
        </is>
      </c>
      <c r="B241" s="3" t="inlineStr">
        <is>
          <t>Lenvatinib</t>
        </is>
      </c>
      <c r="C241" s="3" t="inlineStr">
        <is>
          <t>LEV01</t>
        </is>
      </c>
      <c r="D241" s="10">
        <f>'Per-Trial Conf'!$D63</f>
        <v/>
      </c>
      <c r="E241" s="10">
        <f>IF(H241&gt;0,-$B$3*LN(H241),"")</f>
        <v/>
      </c>
      <c r="F241" s="10">
        <f>IF(E241="","",EXP(-E241/$B$3))</f>
        <v/>
      </c>
      <c r="G241" s="10">
        <f>IF(F241="","",F241/SUM(F$239:F$241))</f>
        <v/>
      </c>
      <c r="H241" s="10">
        <f>AVERAGE('Per-Trial Conf'!$E63:$G63)</f>
        <v/>
      </c>
      <c r="I241" s="10">
        <f>IF(COUNT('Per-Trial Conf'!$E63:$G63)&gt;1,STDEV('Per-Trial Conf'!$E63:$G63)/SQRT(COUNT('Per-Trial Conf'!$E63:$G63)),0)</f>
        <v/>
      </c>
      <c r="J241" s="10">
        <f>AVERAGE('Per-Trial Conf'!$H63:$J63)</f>
        <v/>
      </c>
      <c r="K241" s="10">
        <f>IF(COUNT('Per-Trial Conf'!$H63:$J63)&gt;1,STDEV('Per-Trial Conf'!$H63:$J63)/SQRT(COUNT('Per-Trial Conf'!$H63:$J63)),0)</f>
        <v/>
      </c>
    </row>
    <row r="242">
      <c r="A242" s="6" t="n"/>
      <c r="B242" s="6" t="n"/>
      <c r="C242" s="6" t="inlineStr">
        <is>
          <t>SUM</t>
        </is>
      </c>
      <c r="D242" s="12" t="n"/>
      <c r="E242" s="12" t="n"/>
      <c r="F242" s="12">
        <f>SUM(F239:F241)</f>
        <v/>
      </c>
      <c r="G242" s="12">
        <f>SUM(G239:G241)</f>
        <v/>
      </c>
      <c r="H242" s="12">
        <f>SUM(H239:H241)</f>
        <v/>
      </c>
      <c r="I242" s="12" t="n"/>
      <c r="J242" s="12">
        <f>SUM(J239:J241)</f>
        <v/>
      </c>
      <c r="K242" s="12" t="n"/>
    </row>
    <row r="243">
      <c r="A243" s="6" t="n"/>
      <c r="B243" s="6" t="n"/>
      <c r="C243" s="6" t="inlineStr">
        <is>
          <t>ensemble charge</t>
        </is>
      </c>
      <c r="D243" s="12" t="n"/>
      <c r="E243" s="12" t="n"/>
      <c r="F243" s="12" t="n"/>
      <c r="G243" s="12">
        <f>SUMPRODUCT($D239:$D241,G239:G241)</f>
        <v/>
      </c>
      <c r="H243" s="12">
        <f>SUMPRODUCT($D239:$D241,H239:H241)</f>
        <v/>
      </c>
      <c r="I243" s="12" t="n"/>
      <c r="J243" s="12">
        <f>SUMPRODUCT($D239:$D241,J239:J241)</f>
        <v/>
      </c>
      <c r="K243" s="12" t="n"/>
    </row>
    <row r="245">
      <c r="A245" s="3" t="inlineStr">
        <is>
          <t>3WZE</t>
        </is>
      </c>
      <c r="B245" s="3" t="inlineStr">
        <is>
          <t>Sorafenib</t>
        </is>
      </c>
      <c r="C245" s="3" t="inlineStr">
        <is>
          <t>BAX+1</t>
        </is>
      </c>
      <c r="D245" s="10">
        <f>'Per-Trial Conf'!$D64</f>
        <v/>
      </c>
      <c r="E245" s="10">
        <f>IF(H245&gt;0,-$B$3*LN(H245),"")</f>
        <v/>
      </c>
      <c r="F245" s="10">
        <f>IF(E245="","",EXP(-E245/$B$3))</f>
        <v/>
      </c>
      <c r="G245" s="10">
        <f>IF(F245="","",F245/SUM(F$245:F$248))</f>
        <v/>
      </c>
      <c r="H245" s="10">
        <f>AVERAGE('Per-Trial Conf'!$E64:$G64)</f>
        <v/>
      </c>
      <c r="I245" s="10">
        <f>IF(COUNT('Per-Trial Conf'!$E64:$G64)&gt;1,STDEV('Per-Trial Conf'!$E64:$G64)/SQRT(COUNT('Per-Trial Conf'!$E64:$G64)),0)</f>
        <v/>
      </c>
      <c r="J245" s="10">
        <f>AVERAGE('Per-Trial Conf'!$H64:$J64)</f>
        <v/>
      </c>
      <c r="K245" s="10">
        <f>IF(COUNT('Per-Trial Conf'!$H64:$J64)&gt;1,STDEV('Per-Trial Conf'!$H64:$J64)/SQRT(COUNT('Per-Trial Conf'!$H64:$J64)),0)</f>
        <v/>
      </c>
    </row>
    <row r="246">
      <c r="A246" s="3" t="inlineStr">
        <is>
          <t>3WZE</t>
        </is>
      </c>
      <c r="B246" s="3" t="inlineStr">
        <is>
          <t>Sorafenib</t>
        </is>
      </c>
      <c r="C246" s="3" t="inlineStr">
        <is>
          <t>BAX-1</t>
        </is>
      </c>
      <c r="D246" s="10">
        <f>'Per-Trial Conf'!$D65</f>
        <v/>
      </c>
      <c r="E246" s="10">
        <f>IF(H246&gt;0,-$B$3*LN(H246),"")</f>
        <v/>
      </c>
      <c r="F246" s="10">
        <f>IF(E246="","",EXP(-E246/$B$3))</f>
        <v/>
      </c>
      <c r="G246" s="10">
        <f>IF(F246="","",F246/SUM(F$245:F$248))</f>
        <v/>
      </c>
      <c r="H246" s="10">
        <f>AVERAGE('Per-Trial Conf'!$E65:$G65)</f>
        <v/>
      </c>
      <c r="I246" s="10">
        <f>IF(COUNT('Per-Trial Conf'!$E65:$G65)&gt;1,STDEV('Per-Trial Conf'!$E65:$G65)/SQRT(COUNT('Per-Trial Conf'!$E65:$G65)),0)</f>
        <v/>
      </c>
      <c r="J246" s="10">
        <f>AVERAGE('Per-Trial Conf'!$H65:$J65)</f>
        <v/>
      </c>
      <c r="K246" s="10">
        <f>IF(COUNT('Per-Trial Conf'!$H65:$J65)&gt;1,STDEV('Per-Trial Conf'!$H65:$J65)/SQRT(COUNT('Per-Trial Conf'!$H65:$J65)),0)</f>
        <v/>
      </c>
    </row>
    <row r="247">
      <c r="A247" s="3" t="inlineStr">
        <is>
          <t>3WZE</t>
        </is>
      </c>
      <c r="B247" s="3" t="inlineStr">
        <is>
          <t>Sorafenib</t>
        </is>
      </c>
      <c r="C247" s="3" t="inlineStr">
        <is>
          <t>BAX01</t>
        </is>
      </c>
      <c r="D247" s="10">
        <f>'Per-Trial Conf'!$D66</f>
        <v/>
      </c>
      <c r="E247" s="10">
        <f>IF(H247&gt;0,-$B$3*LN(H247),"")</f>
        <v/>
      </c>
      <c r="F247" s="10">
        <f>IF(E247="","",EXP(-E247/$B$3))</f>
        <v/>
      </c>
      <c r="G247" s="10">
        <f>IF(F247="","",F247/SUM(F$245:F$248))</f>
        <v/>
      </c>
      <c r="H247" s="10">
        <f>AVERAGE('Per-Trial Conf'!$E66:$G66)</f>
        <v/>
      </c>
      <c r="I247" s="10">
        <f>IF(COUNT('Per-Trial Conf'!$E66:$G66)&gt;1,STDEV('Per-Trial Conf'!$E66:$G66)/SQRT(COUNT('Per-Trial Conf'!$E66:$G66)),0)</f>
        <v/>
      </c>
      <c r="J247" s="10">
        <f>AVERAGE('Per-Trial Conf'!$H66:$J66)</f>
        <v/>
      </c>
      <c r="K247" s="10">
        <f>IF(COUNT('Per-Trial Conf'!$H66:$J66)&gt;1,STDEV('Per-Trial Conf'!$H66:$J66)/SQRT(COUNT('Per-Trial Conf'!$H66:$J66)),0)</f>
        <v/>
      </c>
    </row>
    <row r="248">
      <c r="A248" s="3" t="inlineStr">
        <is>
          <t>3WZE</t>
        </is>
      </c>
      <c r="B248" s="3" t="inlineStr">
        <is>
          <t>Sorafenib</t>
        </is>
      </c>
      <c r="C248" s="3" t="inlineStr">
        <is>
          <t>BAX02</t>
        </is>
      </c>
      <c r="D248" s="10">
        <f>'Per-Trial Conf'!$D67</f>
        <v/>
      </c>
      <c r="E248" s="10">
        <f>IF(H248&gt;0,-$B$3*LN(H248),"")</f>
        <v/>
      </c>
      <c r="F248" s="10">
        <f>IF(E248="","",EXP(-E248/$B$3))</f>
        <v/>
      </c>
      <c r="G248" s="10">
        <f>IF(F248="","",F248/SUM(F$245:F$248))</f>
        <v/>
      </c>
      <c r="H248" s="10">
        <f>AVERAGE('Per-Trial Conf'!$E67:$G67)</f>
        <v/>
      </c>
      <c r="I248" s="10">
        <f>IF(COUNT('Per-Trial Conf'!$E67:$G67)&gt;1,STDEV('Per-Trial Conf'!$E67:$G67)/SQRT(COUNT('Per-Trial Conf'!$E67:$G67)),0)</f>
        <v/>
      </c>
      <c r="J248" s="10">
        <f>AVERAGE('Per-Trial Conf'!$H67:$J67)</f>
        <v/>
      </c>
      <c r="K248" s="10">
        <f>IF(COUNT('Per-Trial Conf'!$H67:$J67)&gt;1,STDEV('Per-Trial Conf'!$H67:$J67)/SQRT(COUNT('Per-Trial Conf'!$H67:$J67)),0)</f>
        <v/>
      </c>
    </row>
    <row r="249">
      <c r="A249" s="6" t="n"/>
      <c r="B249" s="6" t="n"/>
      <c r="C249" s="6" t="inlineStr">
        <is>
          <t>SUM</t>
        </is>
      </c>
      <c r="D249" s="12" t="n"/>
      <c r="E249" s="12" t="n"/>
      <c r="F249" s="12">
        <f>SUM(F245:F248)</f>
        <v/>
      </c>
      <c r="G249" s="12">
        <f>SUM(G245:G248)</f>
        <v/>
      </c>
      <c r="H249" s="12">
        <f>SUM(H245:H248)</f>
        <v/>
      </c>
      <c r="I249" s="12" t="n"/>
      <c r="J249" s="12">
        <f>SUM(J245:J248)</f>
        <v/>
      </c>
      <c r="K249" s="12" t="n"/>
    </row>
    <row r="250">
      <c r="A250" s="6" t="n"/>
      <c r="B250" s="6" t="n"/>
      <c r="C250" s="6" t="inlineStr">
        <is>
          <t>ensemble charge</t>
        </is>
      </c>
      <c r="D250" s="12" t="n"/>
      <c r="E250" s="12" t="n"/>
      <c r="F250" s="12" t="n"/>
      <c r="G250" s="12">
        <f>SUMPRODUCT($D245:$D248,G245:G248)</f>
        <v/>
      </c>
      <c r="H250" s="12">
        <f>SUMPRODUCT($D245:$D248,H245:H248)</f>
        <v/>
      </c>
      <c r="I250" s="12" t="n"/>
      <c r="J250" s="12">
        <f>SUMPRODUCT($D245:$D248,J245:J248)</f>
        <v/>
      </c>
      <c r="K250" s="12" t="n"/>
    </row>
    <row r="252">
      <c r="A252" s="3" t="inlineStr">
        <is>
          <t>4ASD</t>
        </is>
      </c>
      <c r="B252" s="3" t="inlineStr">
        <is>
          <t>Sorafenib</t>
        </is>
      </c>
      <c r="C252" s="3" t="inlineStr">
        <is>
          <t>BAX+1</t>
        </is>
      </c>
      <c r="D252" s="10">
        <f>'Per-Trial Conf'!$D92</f>
        <v/>
      </c>
      <c r="E252" s="10">
        <f>IF(H252&gt;0,-$B$3*LN(H252),"")</f>
        <v/>
      </c>
      <c r="F252" s="10">
        <f>IF(E252="","",EXP(-E252/$B$3))</f>
        <v/>
      </c>
      <c r="G252" s="10">
        <f>IF(F252="","",F252/SUM(F$252:F$255))</f>
        <v/>
      </c>
      <c r="H252" s="10">
        <f>AVERAGE('Per-Trial Conf'!$E92:$G92)</f>
        <v/>
      </c>
      <c r="I252" s="10">
        <f>IF(COUNT('Per-Trial Conf'!$E92:$G92)&gt;1,STDEV('Per-Trial Conf'!$E92:$G92)/SQRT(COUNT('Per-Trial Conf'!$E92:$G92)),0)</f>
        <v/>
      </c>
      <c r="J252" s="10">
        <f>AVERAGE('Per-Trial Conf'!$H92:$J92)</f>
        <v/>
      </c>
      <c r="K252" s="10">
        <f>IF(COUNT('Per-Trial Conf'!$H92:$J92)&gt;1,STDEV('Per-Trial Conf'!$H92:$J92)/SQRT(COUNT('Per-Trial Conf'!$H92:$J92)),0)</f>
        <v/>
      </c>
    </row>
    <row r="253">
      <c r="A253" s="3" t="inlineStr">
        <is>
          <t>4ASD</t>
        </is>
      </c>
      <c r="B253" s="3" t="inlineStr">
        <is>
          <t>Sorafenib</t>
        </is>
      </c>
      <c r="C253" s="3" t="inlineStr">
        <is>
          <t>BAX-1</t>
        </is>
      </c>
      <c r="D253" s="10">
        <f>'Per-Trial Conf'!$D93</f>
        <v/>
      </c>
      <c r="E253" s="10">
        <f>IF(H253&gt;0,-$B$3*LN(H253),"")</f>
        <v/>
      </c>
      <c r="F253" s="10">
        <f>IF(E253="","",EXP(-E253/$B$3))</f>
        <v/>
      </c>
      <c r="G253" s="10">
        <f>IF(F253="","",F253/SUM(F$252:F$255))</f>
        <v/>
      </c>
      <c r="H253" s="10">
        <f>AVERAGE('Per-Trial Conf'!$E93:$G93)</f>
        <v/>
      </c>
      <c r="I253" s="10">
        <f>IF(COUNT('Per-Trial Conf'!$E93:$G93)&gt;1,STDEV('Per-Trial Conf'!$E93:$G93)/SQRT(COUNT('Per-Trial Conf'!$E93:$G93)),0)</f>
        <v/>
      </c>
      <c r="J253" s="10">
        <f>AVERAGE('Per-Trial Conf'!$H93:$J93)</f>
        <v/>
      </c>
      <c r="K253" s="10">
        <f>IF(COUNT('Per-Trial Conf'!$H93:$J93)&gt;1,STDEV('Per-Trial Conf'!$H93:$J93)/SQRT(COUNT('Per-Trial Conf'!$H93:$J93)),0)</f>
        <v/>
      </c>
    </row>
    <row r="254">
      <c r="A254" s="3" t="inlineStr">
        <is>
          <t>4ASD</t>
        </is>
      </c>
      <c r="B254" s="3" t="inlineStr">
        <is>
          <t>Sorafenib</t>
        </is>
      </c>
      <c r="C254" s="3" t="inlineStr">
        <is>
          <t>BAX01</t>
        </is>
      </c>
      <c r="D254" s="10">
        <f>'Per-Trial Conf'!$D94</f>
        <v/>
      </c>
      <c r="E254" s="10">
        <f>IF(H254&gt;0,-$B$3*LN(H254),"")</f>
        <v/>
      </c>
      <c r="F254" s="10">
        <f>IF(E254="","",EXP(-E254/$B$3))</f>
        <v/>
      </c>
      <c r="G254" s="10">
        <f>IF(F254="","",F254/SUM(F$252:F$255))</f>
        <v/>
      </c>
      <c r="H254" s="10">
        <f>AVERAGE('Per-Trial Conf'!$E94:$G94)</f>
        <v/>
      </c>
      <c r="I254" s="10">
        <f>IF(COUNT('Per-Trial Conf'!$E94:$G94)&gt;1,STDEV('Per-Trial Conf'!$E94:$G94)/SQRT(COUNT('Per-Trial Conf'!$E94:$G94)),0)</f>
        <v/>
      </c>
      <c r="J254" s="10">
        <f>AVERAGE('Per-Trial Conf'!$H94:$J94)</f>
        <v/>
      </c>
      <c r="K254" s="10">
        <f>IF(COUNT('Per-Trial Conf'!$H94:$J94)&gt;1,STDEV('Per-Trial Conf'!$H94:$J94)/SQRT(COUNT('Per-Trial Conf'!$H94:$J94)),0)</f>
        <v/>
      </c>
    </row>
    <row r="255">
      <c r="A255" s="3" t="inlineStr">
        <is>
          <t>4ASD</t>
        </is>
      </c>
      <c r="B255" s="3" t="inlineStr">
        <is>
          <t>Sorafenib</t>
        </is>
      </c>
      <c r="C255" s="3" t="inlineStr">
        <is>
          <t>BAX02</t>
        </is>
      </c>
      <c r="D255" s="10">
        <f>'Per-Trial Conf'!$D95</f>
        <v/>
      </c>
      <c r="E255" s="10">
        <f>IF(H255&gt;0,-$B$3*LN(H255),"")</f>
        <v/>
      </c>
      <c r="F255" s="10">
        <f>IF(E255="","",EXP(-E255/$B$3))</f>
        <v/>
      </c>
      <c r="G255" s="10">
        <f>IF(F255="","",F255/SUM(F$252:F$255))</f>
        <v/>
      </c>
      <c r="H255" s="10">
        <f>AVERAGE('Per-Trial Conf'!$E95:$G95)</f>
        <v/>
      </c>
      <c r="I255" s="10">
        <f>IF(COUNT('Per-Trial Conf'!$E95:$G95)&gt;1,STDEV('Per-Trial Conf'!$E95:$G95)/SQRT(COUNT('Per-Trial Conf'!$E95:$G95)),0)</f>
        <v/>
      </c>
      <c r="J255" s="10">
        <f>AVERAGE('Per-Trial Conf'!$H95:$J95)</f>
        <v/>
      </c>
      <c r="K255" s="10">
        <f>IF(COUNT('Per-Trial Conf'!$H95:$J95)&gt;1,STDEV('Per-Trial Conf'!$H95:$J95)/SQRT(COUNT('Per-Trial Conf'!$H95:$J95)),0)</f>
        <v/>
      </c>
    </row>
    <row r="256">
      <c r="A256" s="6" t="n"/>
      <c r="B256" s="6" t="n"/>
      <c r="C256" s="6" t="inlineStr">
        <is>
          <t>SUM</t>
        </is>
      </c>
      <c r="D256" s="12" t="n"/>
      <c r="E256" s="12" t="n"/>
      <c r="F256" s="12">
        <f>SUM(F252:F255)</f>
        <v/>
      </c>
      <c r="G256" s="12">
        <f>SUM(G252:G255)</f>
        <v/>
      </c>
      <c r="H256" s="12">
        <f>SUM(H252:H255)</f>
        <v/>
      </c>
      <c r="I256" s="12" t="n"/>
      <c r="J256" s="12">
        <f>SUM(J252:J255)</f>
        <v/>
      </c>
      <c r="K256" s="12" t="n"/>
    </row>
    <row r="257">
      <c r="A257" s="6" t="n"/>
      <c r="B257" s="6" t="n"/>
      <c r="C257" s="6" t="inlineStr">
        <is>
          <t>ensemble charge</t>
        </is>
      </c>
      <c r="D257" s="12" t="n"/>
      <c r="E257" s="12" t="n"/>
      <c r="F257" s="12" t="n"/>
      <c r="G257" s="12">
        <f>SUMPRODUCT($D252:$D255,G252:G255)</f>
        <v/>
      </c>
      <c r="H257" s="12">
        <f>SUMPRODUCT($D252:$D255,H252:H255)</f>
        <v/>
      </c>
      <c r="I257" s="12" t="n"/>
      <c r="J257" s="12">
        <f>SUMPRODUCT($D252:$D255,J252:J255)</f>
        <v/>
      </c>
      <c r="K257" s="12" t="n"/>
    </row>
    <row r="259">
      <c r="A259" s="3" t="inlineStr">
        <is>
          <t>4AGD</t>
        </is>
      </c>
      <c r="B259" s="3" t="inlineStr">
        <is>
          <t>Sunitinib</t>
        </is>
      </c>
      <c r="C259" s="3" t="inlineStr">
        <is>
          <t>B49+1</t>
        </is>
      </c>
      <c r="D259" s="10">
        <f>'Per-Trial Conf'!$D77</f>
        <v/>
      </c>
      <c r="E259" s="10">
        <f>IF(H259&gt;0,-$B$3*LN(H259),"")</f>
        <v/>
      </c>
      <c r="F259" s="10">
        <f>IF(E259="","",EXP(-E259/$B$3))</f>
        <v/>
      </c>
      <c r="G259" s="10">
        <f>IF(F259="","",F259/SUM(F$259:F$262))</f>
        <v/>
      </c>
      <c r="H259" s="10">
        <f>AVERAGE('Per-Trial Conf'!$E77:$G77)</f>
        <v/>
      </c>
      <c r="I259" s="10">
        <f>IF(COUNT('Per-Trial Conf'!$E77:$G77)&gt;1,STDEV('Per-Trial Conf'!$E77:$G77)/SQRT(COUNT('Per-Trial Conf'!$E77:$G77)),0)</f>
        <v/>
      </c>
      <c r="J259" s="10">
        <f>AVERAGE('Per-Trial Conf'!$H77:$J77)</f>
        <v/>
      </c>
      <c r="K259" s="10">
        <f>IF(COUNT('Per-Trial Conf'!$H77:$J77)&gt;1,STDEV('Per-Trial Conf'!$H77:$J77)/SQRT(COUNT('Per-Trial Conf'!$H77:$J77)),0)</f>
        <v/>
      </c>
    </row>
    <row r="260">
      <c r="A260" s="3" t="inlineStr">
        <is>
          <t>4AGD</t>
        </is>
      </c>
      <c r="B260" s="3" t="inlineStr">
        <is>
          <t>Sunitinib</t>
        </is>
      </c>
      <c r="C260" s="3" t="inlineStr">
        <is>
          <t>B4901</t>
        </is>
      </c>
      <c r="D260" s="10">
        <f>'Per-Trial Conf'!$D78</f>
        <v/>
      </c>
      <c r="E260" s="10">
        <f>IF(H260&gt;0,-$B$3*LN(H260),"")</f>
        <v/>
      </c>
      <c r="F260" s="10">
        <f>IF(E260="","",EXP(-E260/$B$3))</f>
        <v/>
      </c>
      <c r="G260" s="10">
        <f>IF(F260="","",F260/SUM(F$259:F$262))</f>
        <v/>
      </c>
      <c r="H260" s="10">
        <f>AVERAGE('Per-Trial Conf'!$E78:$G78)</f>
        <v/>
      </c>
      <c r="I260" s="10">
        <f>IF(COUNT('Per-Trial Conf'!$E78:$G78)&gt;1,STDEV('Per-Trial Conf'!$E78:$G78)/SQRT(COUNT('Per-Trial Conf'!$E78:$G78)),0)</f>
        <v/>
      </c>
      <c r="J260" s="10">
        <f>AVERAGE('Per-Trial Conf'!$H78:$J78)</f>
        <v/>
      </c>
      <c r="K260" s="10">
        <f>IF(COUNT('Per-Trial Conf'!$H78:$J78)&gt;1,STDEV('Per-Trial Conf'!$H78:$J78)/SQRT(COUNT('Per-Trial Conf'!$H78:$J78)),0)</f>
        <v/>
      </c>
    </row>
    <row r="261">
      <c r="A261" s="3" t="inlineStr">
        <is>
          <t>4AGD</t>
        </is>
      </c>
      <c r="B261" s="3" t="inlineStr">
        <is>
          <t>Sunitinib</t>
        </is>
      </c>
      <c r="C261" s="3" t="inlineStr">
        <is>
          <t>B4902</t>
        </is>
      </c>
      <c r="D261" s="10">
        <f>'Per-Trial Conf'!$D79</f>
        <v/>
      </c>
      <c r="E261" s="10">
        <f>IF(H261&gt;0,-$B$3*LN(H261),"")</f>
        <v/>
      </c>
      <c r="F261" s="10">
        <f>IF(E261="","",EXP(-E261/$B$3))</f>
        <v/>
      </c>
      <c r="G261" s="10">
        <f>IF(F261="","",F261/SUM(F$259:F$262))</f>
        <v/>
      </c>
      <c r="H261" s="10">
        <f>AVERAGE('Per-Trial Conf'!$E79:$G79)</f>
        <v/>
      </c>
      <c r="I261" s="10">
        <f>IF(COUNT('Per-Trial Conf'!$E79:$G79)&gt;1,STDEV('Per-Trial Conf'!$E79:$G79)/SQRT(COUNT('Per-Trial Conf'!$E79:$G79)),0)</f>
        <v/>
      </c>
      <c r="J261" s="10">
        <f>AVERAGE('Per-Trial Conf'!$H79:$J79)</f>
        <v/>
      </c>
      <c r="K261" s="10">
        <f>IF(COUNT('Per-Trial Conf'!$H79:$J79)&gt;1,STDEV('Per-Trial Conf'!$H79:$J79)/SQRT(COUNT('Per-Trial Conf'!$H79:$J79)),0)</f>
        <v/>
      </c>
    </row>
    <row r="262">
      <c r="A262" s="3" t="inlineStr">
        <is>
          <t>4AGD</t>
        </is>
      </c>
      <c r="B262" s="3" t="inlineStr">
        <is>
          <t>Sunitinib</t>
        </is>
      </c>
      <c r="C262" s="3" t="inlineStr">
        <is>
          <t>B4903</t>
        </is>
      </c>
      <c r="D262" s="10">
        <f>'Per-Trial Conf'!$D80</f>
        <v/>
      </c>
      <c r="E262" s="10">
        <f>IF(H262&gt;0,-$B$3*LN(H262),"")</f>
        <v/>
      </c>
      <c r="F262" s="10">
        <f>IF(E262="","",EXP(-E262/$B$3))</f>
        <v/>
      </c>
      <c r="G262" s="10">
        <f>IF(F262="","",F262/SUM(F$259:F$262))</f>
        <v/>
      </c>
      <c r="H262" s="10">
        <f>AVERAGE('Per-Trial Conf'!$E80:$G80)</f>
        <v/>
      </c>
      <c r="I262" s="10">
        <f>IF(COUNT('Per-Trial Conf'!$E80:$G80)&gt;1,STDEV('Per-Trial Conf'!$E80:$G80)/SQRT(COUNT('Per-Trial Conf'!$E80:$G80)),0)</f>
        <v/>
      </c>
      <c r="J262" s="10">
        <f>AVERAGE('Per-Trial Conf'!$H80:$J80)</f>
        <v/>
      </c>
      <c r="K262" s="10">
        <f>IF(COUNT('Per-Trial Conf'!$H80:$J80)&gt;1,STDEV('Per-Trial Conf'!$H80:$J80)/SQRT(COUNT('Per-Trial Conf'!$H80:$J80)),0)</f>
        <v/>
      </c>
    </row>
    <row r="263">
      <c r="A263" s="6" t="n"/>
      <c r="B263" s="6" t="n"/>
      <c r="C263" s="6" t="inlineStr">
        <is>
          <t>SUM</t>
        </is>
      </c>
      <c r="D263" s="12" t="n"/>
      <c r="E263" s="12" t="n"/>
      <c r="F263" s="12">
        <f>SUM(F259:F262)</f>
        <v/>
      </c>
      <c r="G263" s="12">
        <f>SUM(G259:G262)</f>
        <v/>
      </c>
      <c r="H263" s="12">
        <f>SUM(H259:H262)</f>
        <v/>
      </c>
      <c r="I263" s="12" t="n"/>
      <c r="J263" s="12">
        <f>SUM(J259:J262)</f>
        <v/>
      </c>
      <c r="K263" s="12" t="n"/>
    </row>
    <row r="264">
      <c r="A264" s="6" t="n"/>
      <c r="B264" s="6" t="n"/>
      <c r="C264" s="6" t="inlineStr">
        <is>
          <t>ensemble charge</t>
        </is>
      </c>
      <c r="D264" s="12" t="n"/>
      <c r="E264" s="12" t="n"/>
      <c r="F264" s="12" t="n"/>
      <c r="G264" s="12">
        <f>SUMPRODUCT($D259:$D262,G259:G262)</f>
        <v/>
      </c>
      <c r="H264" s="12">
        <f>SUMPRODUCT($D259:$D262,H259:H262)</f>
        <v/>
      </c>
      <c r="I264" s="12" t="n"/>
      <c r="J264" s="12">
        <f>SUMPRODUCT($D259:$D262,J259:J262)</f>
        <v/>
      </c>
      <c r="K264" s="12" t="n"/>
    </row>
    <row r="266">
      <c r="A266" s="5" t="inlineStr">
        <is>
          <t>SUM should be 1.000 within rounding. 'ensemble charge' is Σ charge × P — computed from Stat Mech, from P(i) soln and from P(i) bound; the P(i) soln value reproduces the ligand charge in Table 1 (crg soln) and the P(i) bound value reproduces crg bound, so the conformer populations and the residue charges are checked against each other.</t>
        </is>
      </c>
    </row>
  </sheetData>
  <mergeCells count="3">
    <mergeCell ref="J5:K5"/>
    <mergeCell ref="E5:G5"/>
    <mergeCell ref="H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6" t="inlineStr">
        <is>
          <t>Methods: how the Trials statistics were computed</t>
        </is>
      </c>
    </row>
    <row r="2">
      <c r="A2" s="5" t="inlineStr">
        <is>
          <t>Generated 2026-09-22 23:36:02 by make_trials_tables_xlsx.py</t>
        </is>
      </c>
    </row>
    <row r="4">
      <c r="A4" s="6" t="inlineStr">
        <is>
          <t>Replicates</t>
        </is>
      </c>
    </row>
    <row r="5">
      <c r="A5" s="3" t="inlineStr">
        <is>
          <t>n</t>
        </is>
      </c>
      <c r="B5" s="13" t="inlineStr">
        <is>
          <t>3 independent trials of the full MCCE4 pipeline (steps 1-4)</t>
        </is>
      </c>
    </row>
    <row r="6">
      <c r="A6" s="3" t="inlineStr">
        <is>
          <t>Trial01</t>
        </is>
      </c>
      <c r="B6" s="13" t="inlineStr">
        <is>
          <t>MONTE_SEED = 1001</t>
        </is>
      </c>
    </row>
    <row r="7">
      <c r="A7" s="3" t="inlineStr">
        <is>
          <t>Trial02</t>
        </is>
      </c>
      <c r="B7" s="13" t="inlineStr">
        <is>
          <t>MONTE_SEED = 1002</t>
        </is>
      </c>
    </row>
    <row r="8">
      <c r="A8" s="3" t="inlineStr">
        <is>
          <t>Trial03</t>
        </is>
      </c>
      <c r="B8" s="13" t="inlineStr">
        <is>
          <t>MONTE_SEED = 1003</t>
        </is>
      </c>
    </row>
    <row r="9">
      <c r="A9" s="3" t="inlineStr">
        <is>
          <t>What varies</t>
        </is>
      </c>
      <c r="B9" s="13" t="inlineStr">
        <is>
          <t>step2 rotamer generation does not reproduce between runs, so each trial has its own conformer set, and step4 Monte Carlo uses a per-trial seed. A trial is therefore the replicate unit: re-running step4 alone in a finished tree would hold the conformers fixed and understate the spread.</t>
        </is>
      </c>
    </row>
    <row r="11">
      <c r="A11" s="6" t="inlineStr">
        <is>
          <t>Statistics</t>
        </is>
      </c>
    </row>
    <row r="12">
      <c r="A12" s="3" t="inlineStr">
        <is>
          <t>mean</t>
        </is>
      </c>
      <c r="B12" s="13" t="inlineStr">
        <is>
          <t>arithmetic mean over the n trials</t>
        </is>
      </c>
    </row>
    <row r="13">
      <c r="A13" s="3" t="inlineStr">
        <is>
          <t>SD</t>
        </is>
      </c>
      <c r="B13" s="13" t="inlineStr">
        <is>
          <t>sample standard deviation (n-1 denominator)</t>
        </is>
      </c>
    </row>
    <row r="14">
      <c r="A14" s="3" t="inlineStr">
        <is>
          <t>SEM</t>
        </is>
      </c>
      <c r="B14" s="13" t="inlineStr">
        <is>
          <t>SD / √n — every ± column, and the plotted error bar</t>
        </is>
      </c>
    </row>
    <row r="15">
      <c r="A15" s="3" t="inlineStr">
        <is>
          <t>∆crg (Table 1)</t>
        </is>
      </c>
      <c r="B15" s="13" t="inlineStr">
        <is>
          <t>difference of the trial means; ± is the propagated SEM √(a²+b²)</t>
        </is>
      </c>
    </row>
    <row r="16">
      <c r="A16" s="3" t="inlineStr">
        <is>
          <t>∆q (per residue)</t>
        </is>
      </c>
      <c r="B16" s="13" t="inlineStr">
        <is>
          <t>holo − apo computed WITHIN each trial, then averaged. apo reuses holo's conformers inside a trial, so the pairing cancels the conformer set; combining two independent SEMs would overstate the error.</t>
        </is>
      </c>
    </row>
    <row r="18">
      <c r="A18" s="3" t="inlineStr">
        <is>
          <t>Caveat</t>
        </is>
      </c>
      <c r="B18" s="13" t="inlineStr">
        <is>
          <t>Error bars are ±1 SEM, NOT a confidence interval. With n=3 there are 2 degrees of freedom, so a 95% CI would be mean ± 4.30 × SEM.</t>
        </is>
      </c>
    </row>
    <row r="19">
      <c r="A19" s="3" t="inlineStr">
        <is>
          <t>Scope</t>
        </is>
      </c>
      <c r="B19" s="13" t="inlineStr">
        <is>
          <t>The spread reflects run-to-run reproducibility of the pipeline. It does not include force-field, dielectric (ε=4) or crystal-structure uncertainty.</t>
        </is>
      </c>
    </row>
    <row r="21">
      <c r="A21" s="6" t="inlineStr">
        <is>
          <t>Provenance</t>
        </is>
      </c>
    </row>
    <row r="22">
      <c r="A22" s="3" t="inlineStr">
        <is>
          <t>Charges</t>
        </is>
      </c>
      <c r="B22" s="13" t="inlineStr">
        <is>
          <t>xts_sum_crg.out at pH 7.4 — the entropy-corrected output of xts_corr.py, which step4 does not produce on its own</t>
        </is>
      </c>
    </row>
    <row r="23">
      <c r="A23" s="3" t="inlineStr">
        <is>
          <t>Ligand #conf</t>
        </is>
      </c>
      <c r="B23" s="13" t="inlineStr">
        <is>
          <t>conformer count for the ligand in run_inhib/head3.lst</t>
        </is>
      </c>
    </row>
    <row r="24">
      <c r="A24" s="3" t="inlineStr">
        <is>
          <t>Kinase</t>
        </is>
      </c>
      <c r="B24" s="13" t="inlineStr">
        <is>
          <t>the Kinase column of pdb_inhibitor.lst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9" customWidth="1" min="4" max="4"/>
    <col width="7" customWidth="1" min="5" max="5"/>
    <col width="8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Tier</t>
        </is>
      </c>
      <c r="B1" s="14" t="inlineStr">
        <is>
          <t>PDB</t>
        </is>
      </c>
      <c r="C1" s="14" t="inlineStr">
        <is>
          <t>Inhibitor</t>
        </is>
      </c>
      <c r="D1" s="14" t="inlineStr">
        <is>
          <t>ResName</t>
        </is>
      </c>
      <c r="E1" s="14" t="inlineStr">
        <is>
          <t>Chain</t>
        </is>
      </c>
      <c r="F1" s="14" t="inlineStr">
        <is>
          <t>ResNum</t>
        </is>
      </c>
      <c r="G1" s="14" t="inlineStr">
        <is>
          <t>Residue</t>
        </is>
      </c>
      <c r="H1" s="14" t="inlineStr">
        <is>
          <t>ApoCharge</t>
        </is>
      </c>
      <c r="I1" s="14" t="inlineStr">
        <is>
          <t>HoloCharge</t>
        </is>
      </c>
      <c r="J1" s="14" t="inlineStr">
        <is>
          <t>DeltaCharge</t>
        </is>
      </c>
      <c r="K1" s="14" t="inlineStr">
        <is>
          <t>DeltaSEM</t>
        </is>
      </c>
      <c r="L1" s="14" t="inlineStr">
        <is>
          <t>DeltaMin</t>
        </is>
      </c>
      <c r="M1" s="14" t="inlineStr">
        <is>
          <t>DeltaMax</t>
        </is>
      </c>
      <c r="N1" s="14" t="inlineStr">
        <is>
          <t>Reproducible</t>
        </is>
      </c>
    </row>
    <row r="2">
      <c r="A2" s="3" t="inlineStr">
        <is>
          <t>strong</t>
        </is>
      </c>
      <c r="B2" s="3" t="inlineStr">
        <is>
          <t>4MKC</t>
        </is>
      </c>
      <c r="C2" s="3" t="inlineStr">
        <is>
          <t>Ceritinib</t>
        </is>
      </c>
      <c r="D2" s="3" t="inlineStr">
        <is>
          <t>LYS</t>
        </is>
      </c>
      <c r="E2" s="3" t="inlineStr">
        <is>
          <t>A</t>
        </is>
      </c>
      <c r="F2" s="3" t="n">
        <v>1205</v>
      </c>
      <c r="G2" s="3" t="inlineStr">
        <is>
          <t>LYS+A1205</t>
        </is>
      </c>
      <c r="H2" s="10" t="n">
        <v>0.663</v>
      </c>
      <c r="I2" s="10" t="n">
        <v>0.153</v>
      </c>
      <c r="J2" s="10" t="n">
        <v>-0.51</v>
      </c>
      <c r="K2" s="10" t="n">
        <v>0</v>
      </c>
      <c r="L2" s="10" t="n">
        <v>-0.51</v>
      </c>
      <c r="M2" s="10" t="n">
        <v>-0.51</v>
      </c>
      <c r="N2" s="3" t="inlineStr">
        <is>
          <t>yes</t>
        </is>
      </c>
    </row>
    <row r="3">
      <c r="A3" s="3" t="inlineStr">
        <is>
          <t>affected</t>
        </is>
      </c>
      <c r="B3" s="3" t="inlineStr">
        <is>
          <t>1XKK</t>
        </is>
      </c>
      <c r="C3" s="3" t="inlineStr">
        <is>
          <t>Lapatinib</t>
        </is>
      </c>
      <c r="D3" s="3" t="inlineStr">
        <is>
          <t>LYS</t>
        </is>
      </c>
      <c r="E3" s="3" t="inlineStr">
        <is>
          <t>A</t>
        </is>
      </c>
      <c r="F3" s="3" t="n">
        <v>745</v>
      </c>
      <c r="G3" s="3" t="inlineStr">
        <is>
          <t>LYS+A0745</t>
        </is>
      </c>
      <c r="H3" s="10" t="n">
        <v>0.887</v>
      </c>
      <c r="I3" s="10" t="n">
        <v>0.49</v>
      </c>
      <c r="J3" s="10" t="n">
        <v>-0.397</v>
      </c>
      <c r="K3" s="10" t="n">
        <v>0.022</v>
      </c>
      <c r="L3" s="10" t="n">
        <v>-0.44</v>
      </c>
      <c r="M3" s="10" t="n">
        <v>-0.37</v>
      </c>
      <c r="N3" s="3" t="inlineStr">
        <is>
          <t>yes</t>
        </is>
      </c>
    </row>
    <row r="4">
      <c r="A4" s="3" t="inlineStr">
        <is>
          <t>affected</t>
        </is>
      </c>
      <c r="B4" s="3" t="inlineStr">
        <is>
          <t>1XKK</t>
        </is>
      </c>
      <c r="C4" s="3" t="inlineStr">
        <is>
          <t>Lapatinib</t>
        </is>
      </c>
      <c r="D4" s="3" t="inlineStr">
        <is>
          <t>CYS</t>
        </is>
      </c>
      <c r="E4" s="3" t="inlineStr">
        <is>
          <t>A</t>
        </is>
      </c>
      <c r="F4" s="3" t="n">
        <v>775</v>
      </c>
      <c r="G4" s="3" t="inlineStr">
        <is>
          <t>CYS-A0775</t>
        </is>
      </c>
      <c r="H4" s="10" t="n">
        <v>-0.263</v>
      </c>
      <c r="I4" s="10" t="n">
        <v>0</v>
      </c>
      <c r="J4" s="10" t="n">
        <v>0.263</v>
      </c>
      <c r="K4" s="10" t="n">
        <v>0.037</v>
      </c>
      <c r="L4" s="10" t="n">
        <v>0.19</v>
      </c>
      <c r="M4" s="10" t="n">
        <v>0.3</v>
      </c>
      <c r="N4" s="3" t="inlineStr">
        <is>
          <t>NO</t>
        </is>
      </c>
    </row>
    <row r="5">
      <c r="A5" s="3" t="inlineStr">
        <is>
          <t>affected</t>
        </is>
      </c>
      <c r="B5" s="3" t="inlineStr">
        <is>
          <t>3UE4</t>
        </is>
      </c>
      <c r="C5" s="3" t="inlineStr">
        <is>
          <t>Bosutinib</t>
        </is>
      </c>
      <c r="D5" s="3" t="inlineStr">
        <is>
          <t>GLU</t>
        </is>
      </c>
      <c r="E5" s="3" t="inlineStr">
        <is>
          <t>A</t>
        </is>
      </c>
      <c r="F5" s="3" t="n">
        <v>286</v>
      </c>
      <c r="G5" s="3" t="inlineStr">
        <is>
          <t>GLU-A0286</t>
        </is>
      </c>
      <c r="H5" s="10" t="n">
        <v>-0.307</v>
      </c>
      <c r="I5" s="10" t="n">
        <v>-0.5570000000000001</v>
      </c>
      <c r="J5" s="10" t="n">
        <v>-0.25</v>
      </c>
      <c r="K5" s="10" t="n">
        <v>0.012</v>
      </c>
      <c r="L5" s="10" t="n">
        <v>-0.27</v>
      </c>
      <c r="M5" s="10" t="n">
        <v>-0.23</v>
      </c>
      <c r="N5" s="3" t="inlineStr">
        <is>
          <t>yes</t>
        </is>
      </c>
    </row>
    <row r="6">
      <c r="A6" s="3" t="inlineStr">
        <is>
          <t>affected</t>
        </is>
      </c>
      <c r="B6" s="3" t="inlineStr">
        <is>
          <t>4AN2</t>
        </is>
      </c>
      <c r="C6" s="3" t="inlineStr">
        <is>
          <t>Cobimetinib</t>
        </is>
      </c>
      <c r="D6" s="3" t="inlineStr">
        <is>
          <t>CYS</t>
        </is>
      </c>
      <c r="E6" s="3" t="inlineStr">
        <is>
          <t>A</t>
        </is>
      </c>
      <c r="F6" s="3" t="n">
        <v>207</v>
      </c>
      <c r="G6" s="3" t="inlineStr">
        <is>
          <t>CYS-A0207</t>
        </is>
      </c>
      <c r="H6" s="10" t="n">
        <v>-0.74</v>
      </c>
      <c r="I6" s="10" t="n">
        <v>-0.97</v>
      </c>
      <c r="J6" s="10" t="n">
        <v>-0.23</v>
      </c>
      <c r="K6" s="10" t="n">
        <v>0.006</v>
      </c>
      <c r="L6" s="10" t="n">
        <v>-0.24</v>
      </c>
      <c r="M6" s="10" t="n">
        <v>-0.22</v>
      </c>
      <c r="N6" s="3" t="inlineStr">
        <is>
          <t>yes</t>
        </is>
      </c>
    </row>
    <row r="8">
      <c r="A8" s="5" t="inlineStr">
        <is>
          <t>Reproducible = every trial clears the tier threshold. 'NO' means the classification depends on which trial you look at.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62" customWidth="1" min="4" max="4"/>
  </cols>
  <sheetData>
    <row r="1">
      <c r="A1" s="6" t="inlineStr">
        <is>
          <t>Is the mean a fair summary of the trials?</t>
        </is>
      </c>
    </row>
    <row r="3">
      <c r="A3" s="6" t="inlineStr">
        <is>
          <t>Fig4A — per residue (holo vs apo)</t>
        </is>
      </c>
    </row>
    <row r="4">
      <c r="A4" s="6" t="inlineStr">
        <is>
          <t>Category</t>
        </is>
      </c>
      <c r="B4" s="6" t="inlineStr">
        <is>
          <t>N</t>
        </is>
      </c>
      <c r="C4" s="6" t="inlineStr">
        <is>
          <t>Percent</t>
        </is>
      </c>
      <c r="D4" s="6" t="inlineStr">
        <is>
          <t>Meaning</t>
        </is>
      </c>
    </row>
    <row r="5">
      <c r="A5" s="3" t="inlineStr">
        <is>
          <t>identical</t>
        </is>
      </c>
      <c r="B5" s="3" t="n">
        <v>3179</v>
      </c>
      <c r="C5" s="3" t="n">
        <v>86.7</v>
      </c>
      <c r="D5" s="3" t="inlineStr">
        <is>
          <t>all trials gave the same value; SEM is exactly 0</t>
        </is>
      </c>
    </row>
    <row r="6">
      <c r="A6" s="3" t="inlineStr">
        <is>
          <t>scattered</t>
        </is>
      </c>
      <c r="B6" s="3" t="n">
        <v>488</v>
      </c>
      <c r="C6" s="3" t="n">
        <v>13.3</v>
      </c>
      <c r="D6" s="3" t="inlineStr">
        <is>
          <t>unimodal spread; mean +/- SEM is a fair summary</t>
        </is>
      </c>
    </row>
    <row r="7">
      <c r="A7" s="3" t="inlineStr">
        <is>
          <t>two-state</t>
        </is>
      </c>
      <c r="B7" s="3" t="n">
        <v>1</v>
      </c>
      <c r="C7" s="3" t="n">
        <v>0</v>
      </c>
      <c r="D7" s="3" t="inlineStr">
        <is>
          <t>discrete bistability; the mean is a value never sampled</t>
        </is>
      </c>
    </row>
    <row r="9">
      <c r="A9" s="6" t="inlineStr">
        <is>
          <t># points NOT summarised well by mean +/- SEM</t>
        </is>
      </c>
    </row>
    <row r="10">
      <c r="A10" s="6" t="inlineStr">
        <is>
          <t>Key</t>
        </is>
      </c>
      <c r="B10" s="6" t="inlineStr">
        <is>
          <t>PerTrial</t>
        </is>
      </c>
      <c r="C10" s="6" t="inlineStr">
        <is>
          <t>Range</t>
        </is>
      </c>
    </row>
    <row r="11">
      <c r="A11" s="3" t="inlineStr">
        <is>
          <t>4I22/HIS+A0850_</t>
        </is>
      </c>
      <c r="B11" s="3" t="inlineStr">
        <is>
          <t>-0.13;-0.27;-0.19</t>
        </is>
      </c>
      <c r="C11" s="3" t="n">
        <v>0.14</v>
      </c>
    </row>
    <row r="12">
      <c r="A12" s="3" t="inlineStr">
        <is>
          <t>1XKK/LYS+A0852_</t>
        </is>
      </c>
      <c r="B12" s="3" t="inlineStr">
        <is>
          <t>-0.22;-0.10;-0.21</t>
        </is>
      </c>
      <c r="C12" s="3" t="n">
        <v>0.12</v>
      </c>
    </row>
    <row r="13">
      <c r="A13" s="3" t="inlineStr">
        <is>
          <t>1XKK/CYS-A0775_</t>
        </is>
      </c>
      <c r="B13" s="3" t="inlineStr">
        <is>
          <t>+0.30;+0.19;+0.30</t>
        </is>
      </c>
      <c r="C13" s="3" t="n">
        <v>0.11</v>
      </c>
    </row>
    <row r="14">
      <c r="A14" s="3" t="inlineStr">
        <is>
          <t>4I22/HIS+A0773_</t>
        </is>
      </c>
      <c r="B14" s="3" t="inlineStr">
        <is>
          <t>+0.13;+0.21;+0.15</t>
        </is>
      </c>
      <c r="C14" s="3" t="n">
        <v>0.08</v>
      </c>
    </row>
    <row r="15">
      <c r="A15" s="3" t="inlineStr">
        <is>
          <t>1XKK/LYS+A0745_</t>
        </is>
      </c>
      <c r="B15" s="3" t="inlineStr">
        <is>
          <t>-0.44;-0.38;-0.37</t>
        </is>
      </c>
      <c r="C15" s="3" t="n">
        <v>0.07000000000000001</v>
      </c>
    </row>
    <row r="16">
      <c r="A16" s="3" t="inlineStr">
        <is>
          <t>5L2I/ASP-A0163_</t>
        </is>
      </c>
      <c r="B16" s="3" t="inlineStr">
        <is>
          <t>+0.13;+0.06;+0.07</t>
        </is>
      </c>
      <c r="C16" s="3" t="n">
        <v>0.07000000000000001</v>
      </c>
    </row>
    <row r="17">
      <c r="A17" s="3" t="inlineStr">
        <is>
          <t>4AGD/ASP-A0809_</t>
        </is>
      </c>
      <c r="B17" s="3" t="inlineStr">
        <is>
          <t>+0.02;+0.00;-0.03</t>
        </is>
      </c>
      <c r="C17" s="3" t="n">
        <v>0.05</v>
      </c>
    </row>
    <row r="19">
      <c r="A19" s="6" t="inlineStr">
        <is>
          <t>Fig3 — per inhibitor (bound vs solution)</t>
        </is>
      </c>
    </row>
    <row r="20">
      <c r="A20" s="6" t="inlineStr">
        <is>
          <t>Category</t>
        </is>
      </c>
      <c r="B20" s="6" t="inlineStr">
        <is>
          <t>N</t>
        </is>
      </c>
      <c r="C20" s="6" t="inlineStr">
        <is>
          <t>Percent</t>
        </is>
      </c>
      <c r="D20" s="6" t="inlineStr">
        <is>
          <t>Meaning</t>
        </is>
      </c>
    </row>
    <row r="21">
      <c r="A21" s="3" t="inlineStr">
        <is>
          <t>identical</t>
        </is>
      </c>
      <c r="B21" s="3" t="n">
        <v>22</v>
      </c>
      <c r="C21" s="3" t="n">
        <v>59.5</v>
      </c>
      <c r="D21" s="3" t="inlineStr">
        <is>
          <t>all trials gave the same value; SEM is exactly 0</t>
        </is>
      </c>
    </row>
    <row r="22">
      <c r="A22" s="3" t="inlineStr">
        <is>
          <t>scattered</t>
        </is>
      </c>
      <c r="B22" s="3" t="n">
        <v>13</v>
      </c>
      <c r="C22" s="3" t="n">
        <v>35.1</v>
      </c>
      <c r="D22" s="3" t="inlineStr">
        <is>
          <t>unimodal spread; mean +/- SEM is a fair summary</t>
        </is>
      </c>
    </row>
    <row r="23">
      <c r="A23" s="3" t="inlineStr">
        <is>
          <t>two-state</t>
        </is>
      </c>
      <c r="B23" s="3" t="n">
        <v>2</v>
      </c>
      <c r="C23" s="3" t="n">
        <v>5.4</v>
      </c>
      <c r="D23" s="3" t="inlineStr">
        <is>
          <t>discrete bistability; the mean is a value never sampled</t>
        </is>
      </c>
    </row>
    <row r="25">
      <c r="A25" s="6" t="inlineStr">
        <is>
          <t># points NOT summarised well by mean +/- SEM</t>
        </is>
      </c>
    </row>
    <row r="26">
      <c r="A26" s="6" t="inlineStr">
        <is>
          <t>Key</t>
        </is>
      </c>
      <c r="B26" s="6" t="inlineStr">
        <is>
          <t>PerTrial</t>
        </is>
      </c>
      <c r="C26" s="6" t="inlineStr">
        <is>
          <t>Range</t>
        </is>
      </c>
    </row>
    <row r="27">
      <c r="A27" s="3" t="inlineStr">
        <is>
          <t>3CS9</t>
        </is>
      </c>
      <c r="B27" s="3" t="inlineStr">
        <is>
          <t>+0.42;+0.63;+0.19</t>
        </is>
      </c>
      <c r="C27" s="3" t="n">
        <v>0.44</v>
      </c>
    </row>
    <row r="28">
      <c r="A28" s="3" t="inlineStr">
        <is>
          <t>1XKK</t>
        </is>
      </c>
      <c r="B28" s="3" t="inlineStr">
        <is>
          <t>+0.70;+0.50;+0.53</t>
        </is>
      </c>
      <c r="C28" s="3" t="n">
        <v>0.2</v>
      </c>
    </row>
    <row r="29">
      <c r="A29" s="3" t="inlineStr">
        <is>
          <t>3AOX</t>
        </is>
      </c>
      <c r="B29" s="3" t="inlineStr">
        <is>
          <t>+0.79;+0.90;+0.79</t>
        </is>
      </c>
      <c r="C29" s="3" t="n">
        <v>0.11</v>
      </c>
    </row>
    <row r="30">
      <c r="A30" s="3" t="inlineStr">
        <is>
          <t>4WKQ</t>
        </is>
      </c>
      <c r="B30" s="3" t="inlineStr">
        <is>
          <t>+0.43;+0.49;+0.47</t>
        </is>
      </c>
      <c r="C30" s="3" t="n">
        <v>0.06</v>
      </c>
    </row>
    <row r="31">
      <c r="A31" s="3" t="inlineStr">
        <is>
          <t>2ITO</t>
        </is>
      </c>
      <c r="B31" s="3" t="inlineStr">
        <is>
          <t>+0.75;+0.80;+0.80</t>
        </is>
      </c>
      <c r="C31" s="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2026-09-22T23:36:02Z</dcterms:created>
  <dcterms:modified xmlns:dcterms="http://purl.org/dc/terms/" xmlns:xsi="http://www.w3.org/2001/XMLSchema-instance" xsi:type="dcterms:W3CDTF">2026-09-22T23:36:02Z</dcterms:modified>
</cp:coreProperties>
</file>