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0.7</v>
      </c>
      <c r="K3" s="4" t="n">
        <v>0.5</v>
      </c>
      <c r="L3" s="4" t="n">
        <v>0.53</v>
      </c>
      <c r="M3" s="4" t="n">
        <v>0.47</v>
      </c>
      <c r="N3" s="4" t="n">
        <v>0.45</v>
      </c>
      <c r="O3" s="4" t="n">
        <v>0.51</v>
      </c>
      <c r="P3" s="4" t="n">
        <v>0.71</v>
      </c>
      <c r="Q3" s="4" t="n">
        <v>0.6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-9.33</v>
      </c>
      <c r="N4" s="4" t="n">
        <v>-9.68</v>
      </c>
      <c r="O4" s="4" t="n">
        <v>-9.75</v>
      </c>
      <c r="P4" s="4" t="n">
        <v>-8.5</v>
      </c>
      <c r="Q4" s="4" t="n">
        <v>-8.859999999999999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-6.2</v>
      </c>
      <c r="N5" s="4" t="n">
        <v>-6.18</v>
      </c>
      <c r="O5" s="4" t="n">
        <v>-6.19</v>
      </c>
      <c r="P5" s="4" t="n">
        <v>-5.4</v>
      </c>
      <c r="Q5" s="4" t="n">
        <v>-5.34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0.75</v>
      </c>
      <c r="K6" s="4" t="n">
        <v>0.8</v>
      </c>
      <c r="L6" s="4" t="n">
        <v>0.8</v>
      </c>
      <c r="M6" s="4" t="n">
        <v>-7</v>
      </c>
      <c r="N6" s="4" t="n">
        <v>-7.13</v>
      </c>
      <c r="O6" s="4" t="n">
        <v>-7.1</v>
      </c>
      <c r="P6" s="4" t="n">
        <v>-6.4</v>
      </c>
      <c r="Q6" s="4" t="n">
        <v>-6.51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0.35</v>
      </c>
      <c r="K7" s="4" t="n">
        <v>0.35</v>
      </c>
      <c r="L7" s="4" t="n">
        <v>0.35</v>
      </c>
      <c r="M7" s="4" t="n">
        <v>-6.05</v>
      </c>
      <c r="N7" s="4" t="n">
        <v>-6.01</v>
      </c>
      <c r="O7" s="4" t="n">
        <v>-6.03</v>
      </c>
      <c r="P7" s="4" t="n">
        <v>-5.77</v>
      </c>
      <c r="Q7" s="4" t="n">
        <v>-5.74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0.65</v>
      </c>
      <c r="L8" s="4" t="n">
        <v>0.66</v>
      </c>
      <c r="M8" s="4" t="n">
        <v>-4.69</v>
      </c>
      <c r="N8" s="4" t="n">
        <v>-4.98</v>
      </c>
      <c r="O8" s="4" t="n">
        <v>-4.95</v>
      </c>
      <c r="P8" s="4" t="n">
        <v>-4.15</v>
      </c>
      <c r="Q8" s="4" t="n">
        <v>-4.45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0.96</v>
      </c>
      <c r="K9" s="4" t="n">
        <v>0.96</v>
      </c>
      <c r="L9" s="4" t="n">
        <v>0.97</v>
      </c>
      <c r="M9" s="4" t="n">
        <v>7</v>
      </c>
      <c r="N9" s="4" t="n">
        <v>7.02</v>
      </c>
      <c r="O9" s="4" t="n">
        <v>7.05</v>
      </c>
      <c r="P9" s="4" t="n">
        <v>7.71</v>
      </c>
      <c r="Q9" s="4" t="n">
        <v>7.74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-5.51</v>
      </c>
      <c r="N10" s="4" t="n">
        <v>-5.96</v>
      </c>
      <c r="O10" s="4" t="n">
        <v>-5.92</v>
      </c>
      <c r="P10" s="4" t="n">
        <v>-4.58</v>
      </c>
      <c r="Q10" s="4" t="n">
        <v>-5.01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-4.59</v>
      </c>
      <c r="N11" s="4" t="n">
        <v>-4.59</v>
      </c>
      <c r="O11" s="4" t="n">
        <v>-4.59</v>
      </c>
      <c r="P11" s="4" t="n">
        <v>-3.59</v>
      </c>
      <c r="Q11" s="4" t="n">
        <v>-3.62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0.79</v>
      </c>
      <c r="K12" s="4" t="n">
        <v>0.9</v>
      </c>
      <c r="L12" s="4" t="n">
        <v>0.79</v>
      </c>
      <c r="M12" s="4" t="n">
        <v>-8.4</v>
      </c>
      <c r="N12" s="4" t="n">
        <v>-8.369999999999999</v>
      </c>
      <c r="O12" s="4" t="n">
        <v>-8.359999999999999</v>
      </c>
      <c r="P12" s="4" t="n">
        <v>-7.65</v>
      </c>
      <c r="Q12" s="4" t="n">
        <v>-7.5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0.42</v>
      </c>
      <c r="K13" s="4" t="n">
        <v>0.63</v>
      </c>
      <c r="L13" s="4" t="n">
        <v>0.19</v>
      </c>
      <c r="M13" s="4" t="n">
        <v>-4.62</v>
      </c>
      <c r="N13" s="4" t="n">
        <v>-4.58</v>
      </c>
      <c r="O13" s="4" t="n">
        <v>-4.61</v>
      </c>
      <c r="P13" s="4" t="n">
        <v>-4.24</v>
      </c>
      <c r="Q13" s="4" t="n">
        <v>-3.98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0.05</v>
      </c>
      <c r="K14" s="4" t="n">
        <v>0.04</v>
      </c>
      <c r="L14" s="4" t="n">
        <v>0.05</v>
      </c>
      <c r="M14" s="4" t="n">
        <v>1.14</v>
      </c>
      <c r="N14" s="4" t="n">
        <v>1.29</v>
      </c>
      <c r="O14" s="4" t="n">
        <v>1.1</v>
      </c>
      <c r="P14" s="4" t="n">
        <v>1.29</v>
      </c>
      <c r="Q14" s="4" t="n">
        <v>1.4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-4.81</v>
      </c>
      <c r="O15" s="4" t="n">
        <v>-4.81</v>
      </c>
      <c r="P15" s="4" t="n">
        <v>-3.84</v>
      </c>
      <c r="Q15" s="4" t="n">
        <v>-3.86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0.95</v>
      </c>
      <c r="K16" s="4" t="n">
        <v>0.95</v>
      </c>
      <c r="L16" s="4" t="n">
        <v>0.95</v>
      </c>
      <c r="M16" s="4" t="n">
        <v>-4.57</v>
      </c>
      <c r="N16" s="4" t="n">
        <v>-4.65</v>
      </c>
      <c r="O16" s="4" t="n">
        <v>-4.52</v>
      </c>
      <c r="P16" s="4" t="n">
        <v>-3.93</v>
      </c>
      <c r="Q16" s="4" t="n">
        <v>-4.01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</v>
      </c>
      <c r="K17" s="4" t="n">
        <v>0.01</v>
      </c>
      <c r="L17" s="4" t="n">
        <v>0.01</v>
      </c>
      <c r="M17" s="4" t="n">
        <v>-2.99</v>
      </c>
      <c r="N17" s="4" t="n">
        <v>-3.03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1.61</v>
      </c>
      <c r="N18" s="4" t="n">
        <v>1.54</v>
      </c>
      <c r="O18" s="4" t="n">
        <v>1.53</v>
      </c>
      <c r="P18" s="4" t="n">
        <v>1.63</v>
      </c>
      <c r="Q18" s="4" t="n">
        <v>1.57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5.58</v>
      </c>
      <c r="N19" s="4" t="n">
        <v>5.44</v>
      </c>
      <c r="O19" s="4" t="n">
        <v>5.51</v>
      </c>
      <c r="P19" s="4" t="n">
        <v>5.59</v>
      </c>
      <c r="Q19" s="4" t="n">
        <v>5.42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-1.64</v>
      </c>
      <c r="N20" s="4" t="n">
        <v>-1.64</v>
      </c>
      <c r="O20" s="4" t="n">
        <v>-1.66</v>
      </c>
      <c r="P20" s="4" t="n">
        <v>0.21</v>
      </c>
      <c r="Q20" s="4" t="n">
        <v>0.21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4.59</v>
      </c>
      <c r="N21" s="4" t="n">
        <v>4.57</v>
      </c>
      <c r="O21" s="4" t="n">
        <v>4.58</v>
      </c>
      <c r="P21" s="4" t="n">
        <v>4.62</v>
      </c>
      <c r="Q21" s="4" t="n">
        <v>4.6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3.43</v>
      </c>
      <c r="N22" s="4" t="n">
        <v>3.55</v>
      </c>
      <c r="O22" s="4" t="n">
        <v>3.5</v>
      </c>
      <c r="P22" s="4" t="n">
        <v>3.45</v>
      </c>
      <c r="Q22" s="4" t="n">
        <v>3.55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0.89</v>
      </c>
      <c r="K23" s="4" t="n">
        <v>0.92</v>
      </c>
      <c r="L23" s="4" t="n">
        <v>0.89</v>
      </c>
      <c r="M23" s="4" t="n">
        <v>2.53</v>
      </c>
      <c r="N23" s="4" t="n">
        <v>2.54</v>
      </c>
      <c r="O23" s="4" t="n">
        <v>2.53</v>
      </c>
      <c r="P23" s="4" t="n">
        <v>3.33</v>
      </c>
      <c r="Q23" s="4" t="n">
        <v>3.38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0.22</v>
      </c>
      <c r="L24" s="4" t="n">
        <v>0.22</v>
      </c>
      <c r="M24" s="4" t="n">
        <v>-3.47</v>
      </c>
      <c r="N24" s="4" t="n">
        <v>-3.53</v>
      </c>
      <c r="O24" s="4" t="n">
        <v>-3.55</v>
      </c>
      <c r="P24" s="4" t="n">
        <v>-3.41</v>
      </c>
      <c r="Q24" s="4" t="n">
        <v>-3.46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-5.99</v>
      </c>
      <c r="N25" s="4" t="n">
        <v>-5.41</v>
      </c>
      <c r="O25" s="4" t="n">
        <v>-5.43</v>
      </c>
      <c r="P25" s="4" t="n">
        <v>-5.03</v>
      </c>
      <c r="Q25" s="4" t="n">
        <v>-4.46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-5.91</v>
      </c>
      <c r="N26" s="4" t="n">
        <v>-5.36</v>
      </c>
      <c r="O26" s="4" t="n">
        <v>-5.93</v>
      </c>
      <c r="P26" s="4" t="n">
        <v>-4.95</v>
      </c>
      <c r="Q26" s="4" t="n">
        <v>-4.41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0.26</v>
      </c>
      <c r="N27" s="4" t="n">
        <v>0.12</v>
      </c>
      <c r="O27" s="4" t="n">
        <v>0.29</v>
      </c>
      <c r="P27" s="4" t="n">
        <v>0.28</v>
      </c>
      <c r="Q27" s="4" t="n">
        <v>0.12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0.9399999999999999</v>
      </c>
      <c r="L28" s="4" t="n">
        <v>0.95</v>
      </c>
      <c r="M28" s="4" t="n">
        <v>-6.45</v>
      </c>
      <c r="N28" s="4" t="n">
        <v>-6.54</v>
      </c>
      <c r="O28" s="4" t="n">
        <v>-6.42</v>
      </c>
      <c r="P28" s="4" t="n">
        <v>-5.63</v>
      </c>
      <c r="Q28" s="4" t="n">
        <v>-5.69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-0.65</v>
      </c>
      <c r="N29" s="4" t="n">
        <v>-0.57</v>
      </c>
      <c r="O29" s="4" t="n">
        <v>-0.62</v>
      </c>
      <c r="P29" s="4" t="n">
        <v>0.01</v>
      </c>
      <c r="Q29" s="4" t="n">
        <v>0.05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0.48</v>
      </c>
      <c r="K30" s="4" t="n">
        <v>0.49</v>
      </c>
      <c r="L30" s="4" t="n">
        <v>0.52</v>
      </c>
      <c r="M30" s="4" t="n">
        <v>1.95</v>
      </c>
      <c r="N30" s="4" t="n">
        <v>1.91</v>
      </c>
      <c r="O30" s="4" t="n">
        <v>1.91</v>
      </c>
      <c r="P30" s="4" t="n">
        <v>2.41</v>
      </c>
      <c r="Q30" s="4" t="n">
        <v>2.3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0.51</v>
      </c>
      <c r="K31" s="4" t="n">
        <v>0.53</v>
      </c>
      <c r="L31" s="4" t="n">
        <v>0.52</v>
      </c>
      <c r="M31" s="4" t="n">
        <v>-3.6</v>
      </c>
      <c r="N31" s="4" t="n">
        <v>-3.6</v>
      </c>
      <c r="O31" s="4" t="n">
        <v>-3.5</v>
      </c>
      <c r="P31" s="4" t="n">
        <v>-3.12</v>
      </c>
      <c r="Q31" s="4" t="n">
        <v>-3.07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-4.17</v>
      </c>
      <c r="N32" s="4" t="n">
        <v>-4.18</v>
      </c>
      <c r="O32" s="4" t="n">
        <v>-3.82</v>
      </c>
      <c r="P32" s="4" t="n">
        <v>-3.75</v>
      </c>
      <c r="Q32" s="4" t="n">
        <v>-3.78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0.43</v>
      </c>
      <c r="K33" s="4" t="n">
        <v>0.49</v>
      </c>
      <c r="L33" s="4" t="n">
        <v>0.47</v>
      </c>
      <c r="M33" s="4" t="n">
        <v>-1.35</v>
      </c>
      <c r="N33" s="4" t="n">
        <v>-1.34</v>
      </c>
      <c r="O33" s="4" t="n">
        <v>-1.37</v>
      </c>
      <c r="P33" s="4" t="n">
        <v>-0.95</v>
      </c>
      <c r="Q33" s="4" t="n">
        <v>-0.83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-2.11</v>
      </c>
      <c r="N34" s="4" t="n">
        <v>-2.14</v>
      </c>
      <c r="O34" s="4" t="n">
        <v>-2.14</v>
      </c>
      <c r="P34" s="4" t="n">
        <v>-1.42</v>
      </c>
      <c r="Q34" s="4" t="n">
        <v>-1.46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-5.45</v>
      </c>
      <c r="N35" s="4" t="n">
        <v>-5.46</v>
      </c>
      <c r="O35" s="4" t="n">
        <v>-5.38</v>
      </c>
      <c r="P35" s="4" t="n">
        <v>-4.52</v>
      </c>
      <c r="Q35" s="4" t="n">
        <v>-4.49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-5.95</v>
      </c>
      <c r="N36" s="4" t="n">
        <v>-6.35</v>
      </c>
      <c r="O36" s="4" t="n">
        <v>-6.36</v>
      </c>
      <c r="P36" s="4" t="n">
        <v>-5.02</v>
      </c>
      <c r="Q36" s="4" t="n">
        <v>-5.41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-5.79</v>
      </c>
      <c r="O37" s="4" t="n">
        <v>-5.77</v>
      </c>
      <c r="P37" s="4" t="n">
        <v>-4.4</v>
      </c>
      <c r="Q37" s="4" t="n">
        <v>-4.87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-0.19</v>
      </c>
      <c r="N38" s="4" t="n">
        <v>-0.21</v>
      </c>
      <c r="O38" s="4" t="n">
        <v>-0.3</v>
      </c>
      <c r="P38" s="4" t="n">
        <v>0.87</v>
      </c>
      <c r="Q38" s="4" t="n">
        <v>0.77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0.23</v>
      </c>
      <c r="K39" s="4" t="n">
        <v>0.23</v>
      </c>
      <c r="L39" s="4" t="n">
        <v>0.25</v>
      </c>
      <c r="M39" s="4" t="n">
        <v>-7.97</v>
      </c>
      <c r="N39" s="4" t="n">
        <v>-7.89</v>
      </c>
      <c r="O39" s="4" t="n">
        <v>-7.95</v>
      </c>
      <c r="P39" s="4" t="n">
        <v>-7.77</v>
      </c>
      <c r="Q39" s="4" t="n">
        <v>-7.66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0.696</v>
      </c>
      <c r="I3" s="10" t="n">
        <v>0.499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0.304</v>
      </c>
      <c r="I5" s="10" t="n">
        <v>0.501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1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0.75</v>
      </c>
      <c r="I13" s="10" t="n">
        <v>0.802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0.25</v>
      </c>
      <c r="I17" s="10" t="n">
        <v>0.198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0.349</v>
      </c>
      <c r="I18" s="10" t="n">
        <v>0.348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0.651</v>
      </c>
      <c r="I22" s="10" t="n">
        <v>0.652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0.639</v>
      </c>
      <c r="I23" s="10" t="n">
        <v>0.652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0.361</v>
      </c>
      <c r="I27" s="10" t="n">
        <v>0.348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0.959</v>
      </c>
      <c r="I28" s="10" t="n">
        <v>0.958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0.041</v>
      </c>
      <c r="I31" s="10" t="n">
        <v>0.042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0.79</v>
      </c>
      <c r="I40" s="10" t="n">
        <v>0.901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0.21</v>
      </c>
      <c r="I41" s="10" t="n">
        <v>0.099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0.417</v>
      </c>
      <c r="I42" s="10" t="n">
        <v>0.629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0.583</v>
      </c>
      <c r="I44" s="10" t="n">
        <v>0.371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0.047</v>
      </c>
      <c r="I45" s="10" t="n">
        <v>0.036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0.953</v>
      </c>
      <c r="I46" s="10" t="n">
        <v>0.964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0.003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0.997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0.5620000000000001</v>
      </c>
      <c r="I52" s="10" t="n">
        <v>0.573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0.391</v>
      </c>
      <c r="I53" s="10" t="n">
        <v>0.382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0.047</v>
      </c>
      <c r="I54" s="10" t="n">
        <v>0.045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1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0.961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0.039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0.989</v>
      </c>
      <c r="I75" s="10" t="n">
        <v>0.986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0.011</v>
      </c>
      <c r="I76" s="10" t="n">
        <v>0.014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0.887</v>
      </c>
      <c r="I77" s="10" t="n">
        <v>0.921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0.113</v>
      </c>
      <c r="I78" s="10" t="n">
        <v>0.079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0.232</v>
      </c>
      <c r="I81" s="10" t="n">
        <v>0.217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0.766</v>
      </c>
      <c r="I82" s="10" t="n">
        <v>0.781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0.002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0.944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0.056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0.961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0.039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0.478</v>
      </c>
      <c r="I102" s="10" t="n">
        <v>0.492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0.522</v>
      </c>
      <c r="I106" s="10" t="n">
        <v>0.508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0.511</v>
      </c>
      <c r="I107" s="10" t="n">
        <v>0.53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0.489</v>
      </c>
      <c r="I108" s="10" t="n">
        <v>0.47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0.427</v>
      </c>
      <c r="I113" s="10" t="n">
        <v>0.49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0.573</v>
      </c>
      <c r="I117" s="10" t="n">
        <v>0.51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0.989</v>
      </c>
      <c r="I118" s="10" t="n">
        <v>0.983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0.004</v>
      </c>
      <c r="I119" s="10" t="n">
        <v>0.002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</v>
      </c>
      <c r="I120" s="10" t="n">
        <v>0.008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0.007</v>
      </c>
      <c r="I124" s="10" t="n">
        <v>0.007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0.999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0.001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0.231</v>
      </c>
      <c r="I139" s="10" t="n">
        <v>0.225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0.769</v>
      </c>
      <c r="I141" s="10" t="n">
        <v>0.775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Conf'!$D52</f>
        <v/>
      </c>
      <c r="G8" s="10">
        <f>IF(J8&gt;0,-$B$3*LN(J8),"")</f>
        <v/>
      </c>
      <c r="H8" s="10">
        <f>IF(G8="","",EXP(-G8/$B$3))</f>
        <v/>
      </c>
      <c r="I8" s="10">
        <f>IF(H8="","",H8/SUM(H$8:H$11))</f>
        <v/>
      </c>
      <c r="J8" s="10">
        <f>AVERAGE('Per-Trial Conf'!$E52:$G52)</f>
        <v/>
      </c>
      <c r="K8" s="10">
        <f>IF(COUNT('Per-Trial Conf'!$E52:$G52)&gt;1,STDEV('Per-Trial Conf'!$E52:$G52)/SQRT(COUNT('Per-Trial Conf'!$E52:$G52)),0)</f>
        <v/>
      </c>
      <c r="L8" s="10">
        <f>AVERAGE('Per-Trial Conf'!$H52:$J52)</f>
        <v/>
      </c>
      <c r="M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Conf'!$D53</f>
        <v/>
      </c>
      <c r="G9" s="10">
        <f>IF(J9&gt;0,-$B$3*LN(J9),"")</f>
        <v/>
      </c>
      <c r="H9" s="10">
        <f>IF(G9="","",EXP(-G9/$B$3))</f>
        <v/>
      </c>
      <c r="I9" s="10">
        <f>IF(H9="","",H9/SUM(H$8:H$11))</f>
        <v/>
      </c>
      <c r="J9" s="10">
        <f>AVERAGE('Per-Trial Conf'!$E53:$G53)</f>
        <v/>
      </c>
      <c r="K9" s="10">
        <f>IF(COUNT('Per-Trial Conf'!$E53:$G53)&gt;1,STDEV('Per-Trial Conf'!$E53:$G53)/SQRT(COUNT('Per-Trial Conf'!$E53:$G53)),0)</f>
        <v/>
      </c>
      <c r="L9" s="10">
        <f>AVERAGE('Per-Trial Conf'!$H53:$J53)</f>
        <v/>
      </c>
      <c r="M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Conf'!$D54</f>
        <v/>
      </c>
      <c r="G10" s="10">
        <f>IF(J10&gt;0,-$B$3*LN(J10),"")</f>
        <v/>
      </c>
      <c r="H10" s="10">
        <f>IF(G10="","",EXP(-G10/$B$3))</f>
        <v/>
      </c>
      <c r="I10" s="10">
        <f>IF(H10="","",H10/SUM(H$8:H$11))</f>
        <v/>
      </c>
      <c r="J10" s="10">
        <f>AVERAGE('Per-Trial Conf'!$E54:$G54)</f>
        <v/>
      </c>
      <c r="K10" s="10">
        <f>IF(COUNT('Per-Trial Conf'!$E54:$G54)&gt;1,STDEV('Per-Trial Conf'!$E54:$G54)/SQRT(COUNT('Per-Trial Conf'!$E54:$G54)),0)</f>
        <v/>
      </c>
      <c r="L10" s="10">
        <f>AVERAGE('Per-Trial Conf'!$H54:$J54)</f>
        <v/>
      </c>
      <c r="M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Conf'!$D55</f>
        <v/>
      </c>
      <c r="G11" s="10">
        <f>IF(J11&gt;0,-$B$3*LN(J11),"")</f>
        <v/>
      </c>
      <c r="H11" s="10">
        <f>IF(G11="","",EXP(-G11/$B$3))</f>
        <v/>
      </c>
      <c r="I11" s="10">
        <f>IF(H11="","",H11/SUM(H$8:H$11))</f>
        <v/>
      </c>
      <c r="J11" s="10">
        <f>AVERAGE('Per-Trial Conf'!$E55:$G55)</f>
        <v/>
      </c>
      <c r="K11" s="10">
        <f>IF(COUNT('Per-Trial Conf'!$E55:$G55)&gt;1,STDEV('Per-Trial Conf'!$E55:$G55)/SQRT(COUNT('Per-Trial Conf'!$E55:$G55)),0)</f>
        <v/>
      </c>
      <c r="L11" s="10">
        <f>AVERAGE('Per-Trial Conf'!$H55:$J55)</f>
        <v/>
      </c>
      <c r="M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Conf'!$D8</f>
        <v/>
      </c>
      <c r="G15" s="10">
        <f>IF(J15&gt;0,-$B$3*LN(J15),"")</f>
        <v/>
      </c>
      <c r="H15" s="10">
        <f>IF(G15="","",EXP(-G15/$B$3))</f>
        <v/>
      </c>
      <c r="I15" s="10">
        <f>IF(H15="","",H15/SUM(H$15:H$19))</f>
        <v/>
      </c>
      <c r="J15" s="10">
        <f>AVERAGE('Per-Trial Conf'!$E8:$G8)</f>
        <v/>
      </c>
      <c r="K15" s="10">
        <f>IF(COUNT('Per-Trial Conf'!$E8:$G8)&gt;1,STDEV('Per-Trial Conf'!$E8:$G8)/SQRT(COUNT('Per-Trial Conf'!$E8:$G8)),0)</f>
        <v/>
      </c>
      <c r="L15" s="10">
        <f>AVERAGE('Per-Trial Conf'!$H8:$J8)</f>
        <v/>
      </c>
      <c r="M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Conf'!$D9</f>
        <v/>
      </c>
      <c r="G16" s="10">
        <f>IF(J16&gt;0,-$B$3*LN(J16),"")</f>
        <v/>
      </c>
      <c r="H16" s="10">
        <f>IF(G16="","",EXP(-G16/$B$3))</f>
        <v/>
      </c>
      <c r="I16" s="10">
        <f>IF(H16="","",H16/SUM(H$15:H$19))</f>
        <v/>
      </c>
      <c r="J16" s="10">
        <f>AVERAGE('Per-Trial Conf'!$E9:$G9)</f>
        <v/>
      </c>
      <c r="K16" s="10">
        <f>IF(COUNT('Per-Trial Conf'!$E9:$G9)&gt;1,STDEV('Per-Trial Conf'!$E9:$G9)/SQRT(COUNT('Per-Trial Conf'!$E9:$G9)),0)</f>
        <v/>
      </c>
      <c r="L16" s="10">
        <f>AVERAGE('Per-Trial Conf'!$H9:$J9)</f>
        <v/>
      </c>
      <c r="M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Conf'!$D10</f>
        <v/>
      </c>
      <c r="G17" s="10">
        <f>IF(J17&gt;0,-$B$3*LN(J17),"")</f>
        <v/>
      </c>
      <c r="H17" s="10">
        <f>IF(G17="","",EXP(-G17/$B$3))</f>
        <v/>
      </c>
      <c r="I17" s="10">
        <f>IF(H17="","",H17/SUM(H$15:H$19))</f>
        <v/>
      </c>
      <c r="J17" s="10">
        <f>AVERAGE('Per-Trial Conf'!$E10:$G10)</f>
        <v/>
      </c>
      <c r="K17" s="10">
        <f>IF(COUNT('Per-Trial Conf'!$E10:$G10)&gt;1,STDEV('Per-Trial Conf'!$E10:$G10)/SQRT(COUNT('Per-Trial Conf'!$E10:$G10)),0)</f>
        <v/>
      </c>
      <c r="L17" s="10">
        <f>AVERAGE('Per-Trial Conf'!$H10:$J10)</f>
        <v/>
      </c>
      <c r="M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Conf'!$D11</f>
        <v/>
      </c>
      <c r="G18" s="10">
        <f>IF(J18&gt;0,-$B$3*LN(J18),"")</f>
        <v/>
      </c>
      <c r="H18" s="10">
        <f>IF(G18="","",EXP(-G18/$B$3))</f>
        <v/>
      </c>
      <c r="I18" s="10">
        <f>IF(H18="","",H18/SUM(H$15:H$19))</f>
        <v/>
      </c>
      <c r="J18" s="10">
        <f>AVERAGE('Per-Trial Conf'!$E11:$G11)</f>
        <v/>
      </c>
      <c r="K18" s="10">
        <f>IF(COUNT('Per-Trial Conf'!$E11:$G11)&gt;1,STDEV('Per-Trial Conf'!$E11:$G11)/SQRT(COUNT('Per-Trial Conf'!$E11:$G11)),0)</f>
        <v/>
      </c>
      <c r="L18" s="10">
        <f>AVERAGE('Per-Trial Conf'!$H11:$J11)</f>
        <v/>
      </c>
      <c r="M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Conf'!$D12</f>
        <v/>
      </c>
      <c r="G19" s="10">
        <f>IF(J19&gt;0,-$B$3*LN(J19),"")</f>
        <v/>
      </c>
      <c r="H19" s="10">
        <f>IF(G19="","",EXP(-G19/$B$3))</f>
        <v/>
      </c>
      <c r="I19" s="10">
        <f>IF(H19="","",H19/SUM(H$15:H$19))</f>
        <v/>
      </c>
      <c r="J19" s="10">
        <f>AVERAGE('Per-Trial Conf'!$E12:$G12)</f>
        <v/>
      </c>
      <c r="K19" s="10">
        <f>IF(COUNT('Per-Trial Conf'!$E12:$G12)&gt;1,STDEV('Per-Trial Conf'!$E12:$G12)/SQRT(COUNT('Per-Trial Conf'!$E12:$G12)),0)</f>
        <v/>
      </c>
      <c r="L19" s="10">
        <f>AVERAGE('Per-Trial Conf'!$H12:$J12)</f>
        <v/>
      </c>
      <c r="M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Conf'!$D47</f>
        <v/>
      </c>
      <c r="G23" s="10">
        <f>IF(J23&gt;0,-$B$3*LN(J23),"")</f>
        <v/>
      </c>
      <c r="H23" s="10">
        <f>IF(G23="","",EXP(-G23/$B$3))</f>
        <v/>
      </c>
      <c r="I23" s="10">
        <f>IF(H23="","",H23/SUM(H$23:H$27))</f>
        <v/>
      </c>
      <c r="J23" s="10">
        <f>AVERAGE('Per-Trial Conf'!$E47:$G47)</f>
        <v/>
      </c>
      <c r="K23" s="10">
        <f>IF(COUNT('Per-Trial Conf'!$E47:$G47)&gt;1,STDEV('Per-Trial Conf'!$E47:$G47)/SQRT(COUNT('Per-Trial Conf'!$E47:$G47)),0)</f>
        <v/>
      </c>
      <c r="L23" s="10">
        <f>AVERAGE('Per-Trial Conf'!$H47:$J47)</f>
        <v/>
      </c>
      <c r="M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Conf'!$D48</f>
        <v/>
      </c>
      <c r="G24" s="10">
        <f>IF(J24&gt;0,-$B$3*LN(J24),"")</f>
        <v/>
      </c>
      <c r="H24" s="10">
        <f>IF(G24="","",EXP(-G24/$B$3))</f>
        <v/>
      </c>
      <c r="I24" s="10">
        <f>IF(H24="","",H24/SUM(H$23:H$27))</f>
        <v/>
      </c>
      <c r="J24" s="10">
        <f>AVERAGE('Per-Trial Conf'!$E48:$G48)</f>
        <v/>
      </c>
      <c r="K24" s="10">
        <f>IF(COUNT('Per-Trial Conf'!$E48:$G48)&gt;1,STDEV('Per-Trial Conf'!$E48:$G48)/SQRT(COUNT('Per-Trial Conf'!$E48:$G48)),0)</f>
        <v/>
      </c>
      <c r="L24" s="10">
        <f>AVERAGE('Per-Trial Conf'!$H48:$J48)</f>
        <v/>
      </c>
      <c r="M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Conf'!$D49</f>
        <v/>
      </c>
      <c r="G25" s="10">
        <f>IF(J25&gt;0,-$B$3*LN(J25),"")</f>
        <v/>
      </c>
      <c r="H25" s="10">
        <f>IF(G25="","",EXP(-G25/$B$3))</f>
        <v/>
      </c>
      <c r="I25" s="10">
        <f>IF(H25="","",H25/SUM(H$23:H$27))</f>
        <v/>
      </c>
      <c r="J25" s="10">
        <f>AVERAGE('Per-Trial Conf'!$E49:$G49)</f>
        <v/>
      </c>
      <c r="K25" s="10">
        <f>IF(COUNT('Per-Trial Conf'!$E49:$G49)&gt;1,STDEV('Per-Trial Conf'!$E49:$G49)/SQRT(COUNT('Per-Trial Conf'!$E49:$G49)),0)</f>
        <v/>
      </c>
      <c r="L25" s="10">
        <f>AVERAGE('Per-Trial Conf'!$H49:$J49)</f>
        <v/>
      </c>
      <c r="M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Conf'!$D50</f>
        <v/>
      </c>
      <c r="G26" s="10">
        <f>IF(J26&gt;0,-$B$3*LN(J26),"")</f>
        <v/>
      </c>
      <c r="H26" s="10">
        <f>IF(G26="","",EXP(-G26/$B$3))</f>
        <v/>
      </c>
      <c r="I26" s="10">
        <f>IF(H26="","",H26/SUM(H$23:H$27))</f>
        <v/>
      </c>
      <c r="J26" s="10">
        <f>AVERAGE('Per-Trial Conf'!$E50:$G50)</f>
        <v/>
      </c>
      <c r="K26" s="10">
        <f>IF(COUNT('Per-Trial Conf'!$E50:$G50)&gt;1,STDEV('Per-Trial Conf'!$E50:$G50)/SQRT(COUNT('Per-Trial Conf'!$E50:$G50)),0)</f>
        <v/>
      </c>
      <c r="L26" s="10">
        <f>AVERAGE('Per-Trial Conf'!$H50:$J50)</f>
        <v/>
      </c>
      <c r="M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Conf'!$D51</f>
        <v/>
      </c>
      <c r="G27" s="10">
        <f>IF(J27&gt;0,-$B$3*LN(J27),"")</f>
        <v/>
      </c>
      <c r="H27" s="10">
        <f>IF(G27="","",EXP(-G27/$B$3))</f>
        <v/>
      </c>
      <c r="I27" s="10">
        <f>IF(H27="","",H27/SUM(H$23:H$27))</f>
        <v/>
      </c>
      <c r="J27" s="10">
        <f>AVERAGE('Per-Trial Conf'!$E51:$G51)</f>
        <v/>
      </c>
      <c r="K27" s="10">
        <f>IF(COUNT('Per-Trial Conf'!$E51:$G51)&gt;1,STDEV('Per-Trial Conf'!$E51:$G51)/SQRT(COUNT('Per-Trial Conf'!$E51:$G51)),0)</f>
        <v/>
      </c>
      <c r="L27" s="10">
        <f>AVERAGE('Per-Trial Conf'!$H51:$J51)</f>
        <v/>
      </c>
      <c r="M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Conf'!$D42</f>
        <v/>
      </c>
      <c r="G31" s="10">
        <f>IF(J31&gt;0,-$B$3*LN(J31),"")</f>
        <v/>
      </c>
      <c r="H31" s="10">
        <f>IF(G31="","",EXP(-G31/$B$3))</f>
        <v/>
      </c>
      <c r="I31" s="10">
        <f>IF(H31="","",H31/SUM(H$31:H$33))</f>
        <v/>
      </c>
      <c r="J31" s="10">
        <f>AVERAGE('Per-Trial Conf'!$E42:$G42)</f>
        <v/>
      </c>
      <c r="K31" s="10">
        <f>IF(COUNT('Per-Trial Conf'!$E42:$G42)&gt;1,STDEV('Per-Trial Conf'!$E42:$G42)/SQRT(COUNT('Per-Trial Conf'!$E42:$G42)),0)</f>
        <v/>
      </c>
      <c r="L31" s="10">
        <f>AVERAGE('Per-Trial Conf'!$H42:$J42)</f>
        <v/>
      </c>
      <c r="M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Conf'!$D43</f>
        <v/>
      </c>
      <c r="G32" s="10">
        <f>IF(J32&gt;0,-$B$3*LN(J32),"")</f>
        <v/>
      </c>
      <c r="H32" s="10">
        <f>IF(G32="","",EXP(-G32/$B$3))</f>
        <v/>
      </c>
      <c r="I32" s="10">
        <f>IF(H32="","",H32/SUM(H$31:H$33))</f>
        <v/>
      </c>
      <c r="J32" s="10">
        <f>AVERAGE('Per-Trial Conf'!$E43:$G43)</f>
        <v/>
      </c>
      <c r="K32" s="10">
        <f>IF(COUNT('Per-Trial Conf'!$E43:$G43)&gt;1,STDEV('Per-Trial Conf'!$E43:$G43)/SQRT(COUNT('Per-Trial Conf'!$E43:$G43)),0)</f>
        <v/>
      </c>
      <c r="L32" s="10">
        <f>AVERAGE('Per-Trial Conf'!$H43:$J43)</f>
        <v/>
      </c>
      <c r="M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Conf'!$D44</f>
        <v/>
      </c>
      <c r="G33" s="10">
        <f>IF(J33&gt;0,-$B$3*LN(J33),"")</f>
        <v/>
      </c>
      <c r="H33" s="10">
        <f>IF(G33="","",EXP(-G33/$B$3))</f>
        <v/>
      </c>
      <c r="I33" s="10">
        <f>IF(H33="","",H33/SUM(H$31:H$33))</f>
        <v/>
      </c>
      <c r="J33" s="10">
        <f>AVERAGE('Per-Trial Conf'!$E44:$G44)</f>
        <v/>
      </c>
      <c r="K33" s="10">
        <f>IF(COUNT('Per-Trial Conf'!$E44:$G44)&gt;1,STDEV('Per-Trial Conf'!$E44:$G44)/SQRT(COUNT('Per-Trial Conf'!$E44:$G44)),0)</f>
        <v/>
      </c>
      <c r="L33" s="10">
        <f>AVERAGE('Per-Trial Conf'!$H44:$J44)</f>
        <v/>
      </c>
      <c r="M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Conf'!$D139</f>
        <v/>
      </c>
      <c r="G37" s="10">
        <f>IF(J37&gt;0,-$B$3*LN(J37),"")</f>
        <v/>
      </c>
      <c r="H37" s="10">
        <f>IF(G37="","",EXP(-G37/$B$3))</f>
        <v/>
      </c>
      <c r="I37" s="10">
        <f>IF(H37="","",H37/SUM(H$37:H$39))</f>
        <v/>
      </c>
      <c r="J37" s="10">
        <f>AVERAGE('Per-Trial Conf'!$E139:$G139)</f>
        <v/>
      </c>
      <c r="K37" s="10">
        <f>IF(COUNT('Per-Trial Conf'!$E139:$G139)&gt;1,STDEV('Per-Trial Conf'!$E139:$G139)/SQRT(COUNT('Per-Trial Conf'!$E139:$G139)),0)</f>
        <v/>
      </c>
      <c r="L37" s="10">
        <f>AVERAGE('Per-Trial Conf'!$H139:$J139)</f>
        <v/>
      </c>
      <c r="M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Conf'!$D140</f>
        <v/>
      </c>
      <c r="G38" s="10">
        <f>IF(J38&gt;0,-$B$3*LN(J38),"")</f>
        <v/>
      </c>
      <c r="H38" s="10">
        <f>IF(G38="","",EXP(-G38/$B$3))</f>
        <v/>
      </c>
      <c r="I38" s="10">
        <f>IF(H38="","",H38/SUM(H$37:H$39))</f>
        <v/>
      </c>
      <c r="J38" s="10">
        <f>AVERAGE('Per-Trial Conf'!$E140:$G140)</f>
        <v/>
      </c>
      <c r="K38" s="10">
        <f>IF(COUNT('Per-Trial Conf'!$E140:$G140)&gt;1,STDEV('Per-Trial Conf'!$E140:$G140)/SQRT(COUNT('Per-Trial Conf'!$E140:$G140)),0)</f>
        <v/>
      </c>
      <c r="L38" s="10">
        <f>AVERAGE('Per-Trial Conf'!$H140:$J140)</f>
        <v/>
      </c>
      <c r="M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Conf'!$D141</f>
        <v/>
      </c>
      <c r="G39" s="10">
        <f>IF(J39&gt;0,-$B$3*LN(J39),"")</f>
        <v/>
      </c>
      <c r="H39" s="10">
        <f>IF(G39="","",EXP(-G39/$B$3))</f>
        <v/>
      </c>
      <c r="I39" s="10">
        <f>IF(H39="","",H39/SUM(H$37:H$39))</f>
        <v/>
      </c>
      <c r="J39" s="10">
        <f>AVERAGE('Per-Trial Conf'!$E141:$G141)</f>
        <v/>
      </c>
      <c r="K39" s="10">
        <f>IF(COUNT('Per-Trial Conf'!$E141:$G141)&gt;1,STDEV('Per-Trial Conf'!$E141:$G141)/SQRT(COUNT('Per-Trial Conf'!$E141:$G141)),0)</f>
        <v/>
      </c>
      <c r="L39" s="10">
        <f>AVERAGE('Per-Trial Conf'!$H141:$J141)</f>
        <v/>
      </c>
      <c r="M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Conf'!$D40</f>
        <v/>
      </c>
      <c r="G44" s="10">
        <f>IF(J44&gt;0,-$B$3*LN(J44),"")</f>
        <v/>
      </c>
      <c r="H44" s="10">
        <f>IF(G44="","",EXP(-G44/$B$3))</f>
        <v/>
      </c>
      <c r="I44" s="10">
        <f>IF(H44="","",H44/SUM(H$44:H$45))</f>
        <v/>
      </c>
      <c r="J44" s="10">
        <f>AVERAGE('Per-Trial Conf'!$E40:$G40)</f>
        <v/>
      </c>
      <c r="K44" s="10">
        <f>IF(COUNT('Per-Trial Conf'!$E40:$G40)&gt;1,STDEV('Per-Trial Conf'!$E40:$G40)/SQRT(COUNT('Per-Trial Conf'!$E40:$G40)),0)</f>
        <v/>
      </c>
      <c r="L44" s="10">
        <f>AVERAGE('Per-Trial Conf'!$H40:$J40)</f>
        <v/>
      </c>
      <c r="M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Conf'!$D41</f>
        <v/>
      </c>
      <c r="G45" s="10">
        <f>IF(J45&gt;0,-$B$3*LN(J45),"")</f>
        <v/>
      </c>
      <c r="H45" s="10">
        <f>IF(G45="","",EXP(-G45/$B$3))</f>
        <v/>
      </c>
      <c r="I45" s="10">
        <f>IF(H45="","",H45/SUM(H$44:H$45))</f>
        <v/>
      </c>
      <c r="J45" s="10">
        <f>AVERAGE('Per-Trial Conf'!$E41:$G41)</f>
        <v/>
      </c>
      <c r="K45" s="10">
        <f>IF(COUNT('Per-Trial Conf'!$E41:$G41)&gt;1,STDEV('Per-Trial Conf'!$E41:$G41)/SQRT(COUNT('Per-Trial Conf'!$E41:$G41)),0)</f>
        <v/>
      </c>
      <c r="L45" s="10">
        <f>AVERAGE('Per-Trial Conf'!$H41:$J41)</f>
        <v/>
      </c>
      <c r="M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Conf'!$D110</f>
        <v/>
      </c>
      <c r="G49" s="10">
        <f>IF(J49&gt;0,-$B$3*LN(J49),"")</f>
        <v/>
      </c>
      <c r="H49" s="10">
        <f>IF(G49="","",EXP(-G49/$B$3))</f>
        <v/>
      </c>
      <c r="I49" s="10">
        <f>IF(H49="","",H49/SUM(H$49:H$51))</f>
        <v/>
      </c>
      <c r="J49" s="10">
        <f>AVERAGE('Per-Trial Conf'!$E110:$G110)</f>
        <v/>
      </c>
      <c r="K49" s="10">
        <f>IF(COUNT('Per-Trial Conf'!$E110:$G110)&gt;1,STDEV('Per-Trial Conf'!$E110:$G110)/SQRT(COUNT('Per-Trial Conf'!$E110:$G110)),0)</f>
        <v/>
      </c>
      <c r="L49" s="10">
        <f>AVERAGE('Per-Trial Conf'!$H110:$J110)</f>
        <v/>
      </c>
      <c r="M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Conf'!$D111</f>
        <v/>
      </c>
      <c r="G50" s="10">
        <f>IF(J50&gt;0,-$B$3*LN(J50),"")</f>
        <v/>
      </c>
      <c r="H50" s="10">
        <f>IF(G50="","",EXP(-G50/$B$3))</f>
        <v/>
      </c>
      <c r="I50" s="10">
        <f>IF(H50="","",H50/SUM(H$49:H$51))</f>
        <v/>
      </c>
      <c r="J50" s="10">
        <f>AVERAGE('Per-Trial Conf'!$E111:$G111)</f>
        <v/>
      </c>
      <c r="K50" s="10">
        <f>IF(COUNT('Per-Trial Conf'!$E111:$G111)&gt;1,STDEV('Per-Trial Conf'!$E111:$G111)/SQRT(COUNT('Per-Trial Conf'!$E111:$G111)),0)</f>
        <v/>
      </c>
      <c r="L50" s="10">
        <f>AVERAGE('Per-Trial Conf'!$H111:$J111)</f>
        <v/>
      </c>
      <c r="M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Conf'!$D112</f>
        <v/>
      </c>
      <c r="G51" s="10">
        <f>IF(J51&gt;0,-$B$3*LN(J51),"")</f>
        <v/>
      </c>
      <c r="H51" s="10">
        <f>IF(G51="","",EXP(-G51/$B$3))</f>
        <v/>
      </c>
      <c r="I51" s="10">
        <f>IF(H51="","",H51/SUM(H$49:H$51))</f>
        <v/>
      </c>
      <c r="J51" s="10">
        <f>AVERAGE('Per-Trial Conf'!$E112:$G112)</f>
        <v/>
      </c>
      <c r="K51" s="10">
        <f>IF(COUNT('Per-Trial Conf'!$E112:$G112)&gt;1,STDEV('Per-Trial Conf'!$E112:$G112)/SQRT(COUNT('Per-Trial Conf'!$E112:$G112)),0)</f>
        <v/>
      </c>
      <c r="L51" s="10">
        <f>AVERAGE('Per-Trial Conf'!$H112:$J112)</f>
        <v/>
      </c>
      <c r="M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Conf'!$D32</f>
        <v/>
      </c>
      <c r="G55" s="10">
        <f>IF(J55&gt;0,-$B$3*LN(J55),"")</f>
        <v/>
      </c>
      <c r="H55" s="10">
        <f>IF(G55="","",EXP(-G55/$B$3))</f>
        <v/>
      </c>
      <c r="I55" s="10">
        <f>IF(H55="","",H55/SUM(H$55:H$58))</f>
        <v/>
      </c>
      <c r="J55" s="10">
        <f>AVERAGE('Per-Trial Conf'!$E32:$G32)</f>
        <v/>
      </c>
      <c r="K55" s="10">
        <f>IF(COUNT('Per-Trial Conf'!$E32:$G32)&gt;1,STDEV('Per-Trial Conf'!$E32:$G32)/SQRT(COUNT('Per-Trial Conf'!$E32:$G32)),0)</f>
        <v/>
      </c>
      <c r="L55" s="10">
        <f>AVERAGE('Per-Trial Conf'!$H32:$J32)</f>
        <v/>
      </c>
      <c r="M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Conf'!$D33</f>
        <v/>
      </c>
      <c r="G56" s="10">
        <f>IF(J56&gt;0,-$B$3*LN(J56),"")</f>
        <v/>
      </c>
      <c r="H56" s="10">
        <f>IF(G56="","",EXP(-G56/$B$3))</f>
        <v/>
      </c>
      <c r="I56" s="10">
        <f>IF(H56="","",H56/SUM(H$55:H$58))</f>
        <v/>
      </c>
      <c r="J56" s="10">
        <f>AVERAGE('Per-Trial Conf'!$E33:$G33)</f>
        <v/>
      </c>
      <c r="K56" s="10">
        <f>IF(COUNT('Per-Trial Conf'!$E33:$G33)&gt;1,STDEV('Per-Trial Conf'!$E33:$G33)/SQRT(COUNT('Per-Trial Conf'!$E33:$G33)),0)</f>
        <v/>
      </c>
      <c r="L56" s="10">
        <f>AVERAGE('Per-Trial Conf'!$H33:$J33)</f>
        <v/>
      </c>
      <c r="M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Conf'!$D34</f>
        <v/>
      </c>
      <c r="G57" s="10">
        <f>IF(J57&gt;0,-$B$3*LN(J57),"")</f>
        <v/>
      </c>
      <c r="H57" s="10">
        <f>IF(G57="","",EXP(-G57/$B$3))</f>
        <v/>
      </c>
      <c r="I57" s="10">
        <f>IF(H57="","",H57/SUM(H$55:H$58))</f>
        <v/>
      </c>
      <c r="J57" s="10">
        <f>AVERAGE('Per-Trial Conf'!$E34:$G34)</f>
        <v/>
      </c>
      <c r="K57" s="10">
        <f>IF(COUNT('Per-Trial Conf'!$E34:$G34)&gt;1,STDEV('Per-Trial Conf'!$E34:$G34)/SQRT(COUNT('Per-Trial Conf'!$E34:$G34)),0)</f>
        <v/>
      </c>
      <c r="L57" s="10">
        <f>AVERAGE('Per-Trial Conf'!$H34:$J34)</f>
        <v/>
      </c>
      <c r="M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Conf'!$D35</f>
        <v/>
      </c>
      <c r="G58" s="10">
        <f>IF(J58&gt;0,-$B$3*LN(J58),"")</f>
        <v/>
      </c>
      <c r="H58" s="10">
        <f>IF(G58="","",EXP(-G58/$B$3))</f>
        <v/>
      </c>
      <c r="I58" s="10">
        <f>IF(H58="","",H58/SUM(H$55:H$58))</f>
        <v/>
      </c>
      <c r="J58" s="10">
        <f>AVERAGE('Per-Trial Conf'!$E35:$G35)</f>
        <v/>
      </c>
      <c r="K58" s="10">
        <f>IF(COUNT('Per-Trial Conf'!$E35:$G35)&gt;1,STDEV('Per-Trial Conf'!$E35:$G35)/SQRT(COUNT('Per-Trial Conf'!$E35:$G35)),0)</f>
        <v/>
      </c>
      <c r="L58" s="10">
        <f>AVERAGE('Per-Trial Conf'!$H35:$J35)</f>
        <v/>
      </c>
      <c r="M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Conf'!$D36</f>
        <v/>
      </c>
      <c r="G62" s="10">
        <f>IF(J62&gt;0,-$B$3*LN(J62),"")</f>
        <v/>
      </c>
      <c r="H62" s="10">
        <f>IF(G62="","",EXP(-G62/$B$3))</f>
        <v/>
      </c>
      <c r="I62" s="10">
        <f>IF(H62="","",H62/SUM(H$62:H$65))</f>
        <v/>
      </c>
      <c r="J62" s="10">
        <f>AVERAGE('Per-Trial Conf'!$E36:$G36)</f>
        <v/>
      </c>
      <c r="K62" s="10">
        <f>IF(COUNT('Per-Trial Conf'!$E36:$G36)&gt;1,STDEV('Per-Trial Conf'!$E36:$G36)/SQRT(COUNT('Per-Trial Conf'!$E36:$G36)),0)</f>
        <v/>
      </c>
      <c r="L62" s="10">
        <f>AVERAGE('Per-Trial Conf'!$H36:$J36)</f>
        <v/>
      </c>
      <c r="M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Conf'!$D37</f>
        <v/>
      </c>
      <c r="G63" s="10">
        <f>IF(J63&gt;0,-$B$3*LN(J63),"")</f>
        <v/>
      </c>
      <c r="H63" s="10">
        <f>IF(G63="","",EXP(-G63/$B$3))</f>
        <v/>
      </c>
      <c r="I63" s="10">
        <f>IF(H63="","",H63/SUM(H$62:H$65))</f>
        <v/>
      </c>
      <c r="J63" s="10">
        <f>AVERAGE('Per-Trial Conf'!$E37:$G37)</f>
        <v/>
      </c>
      <c r="K63" s="10">
        <f>IF(COUNT('Per-Trial Conf'!$E37:$G37)&gt;1,STDEV('Per-Trial Conf'!$E37:$G37)/SQRT(COUNT('Per-Trial Conf'!$E37:$G37)),0)</f>
        <v/>
      </c>
      <c r="L63" s="10">
        <f>AVERAGE('Per-Trial Conf'!$H37:$J37)</f>
        <v/>
      </c>
      <c r="M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Conf'!$D38</f>
        <v/>
      </c>
      <c r="G64" s="10">
        <f>IF(J64&gt;0,-$B$3*LN(J64),"")</f>
        <v/>
      </c>
      <c r="H64" s="10">
        <f>IF(G64="","",EXP(-G64/$B$3))</f>
        <v/>
      </c>
      <c r="I64" s="10">
        <f>IF(H64="","",H64/SUM(H$62:H$65))</f>
        <v/>
      </c>
      <c r="J64" s="10">
        <f>AVERAGE('Per-Trial Conf'!$E38:$G38)</f>
        <v/>
      </c>
      <c r="K64" s="10">
        <f>IF(COUNT('Per-Trial Conf'!$E38:$G38)&gt;1,STDEV('Per-Trial Conf'!$E38:$G38)/SQRT(COUNT('Per-Trial Conf'!$E38:$G38)),0)</f>
        <v/>
      </c>
      <c r="L64" s="10">
        <f>AVERAGE('Per-Trial Conf'!$H38:$J38)</f>
        <v/>
      </c>
      <c r="M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Conf'!$D39</f>
        <v/>
      </c>
      <c r="G65" s="10">
        <f>IF(J65&gt;0,-$B$3*LN(J65),"")</f>
        <v/>
      </c>
      <c r="H65" s="10">
        <f>IF(G65="","",EXP(-G65/$B$3))</f>
        <v/>
      </c>
      <c r="I65" s="10">
        <f>IF(H65="","",H65/SUM(H$62:H$65))</f>
        <v/>
      </c>
      <c r="J65" s="10">
        <f>AVERAGE('Per-Trial Conf'!$E39:$G39)</f>
        <v/>
      </c>
      <c r="K65" s="10">
        <f>IF(COUNT('Per-Trial Conf'!$E39:$G39)&gt;1,STDEV('Per-Trial Conf'!$E39:$G39)/SQRT(COUNT('Per-Trial Conf'!$E39:$G39)),0)</f>
        <v/>
      </c>
      <c r="L65" s="10">
        <f>AVERAGE('Per-Trial Conf'!$H39:$J39)</f>
        <v/>
      </c>
      <c r="M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Conf'!$D84</f>
        <v/>
      </c>
      <c r="G69" s="10">
        <f>IF(J69&gt;0,-$B$3*LN(J69),"")</f>
        <v/>
      </c>
      <c r="H69" s="10">
        <f>IF(G69="","",EXP(-G69/$B$3))</f>
        <v/>
      </c>
      <c r="I69" s="10">
        <f>IF(H69="","",H69/SUM(H$69:H$72))</f>
        <v/>
      </c>
      <c r="J69" s="10">
        <f>AVERAGE('Per-Trial Conf'!$E84:$G84)</f>
        <v/>
      </c>
      <c r="K69" s="10">
        <f>IF(COUNT('Per-Trial Conf'!$E84:$G84)&gt;1,STDEV('Per-Trial Conf'!$E84:$G84)/SQRT(COUNT('Per-Trial Conf'!$E84:$G84)),0)</f>
        <v/>
      </c>
      <c r="L69" s="10">
        <f>AVERAGE('Per-Trial Conf'!$H84:$J84)</f>
        <v/>
      </c>
      <c r="M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Conf'!$D85</f>
        <v/>
      </c>
      <c r="G70" s="10">
        <f>IF(J70&gt;0,-$B$3*LN(J70),"")</f>
        <v/>
      </c>
      <c r="H70" s="10">
        <f>IF(G70="","",EXP(-G70/$B$3))</f>
        <v/>
      </c>
      <c r="I70" s="10">
        <f>IF(H70="","",H70/SUM(H$69:H$72))</f>
        <v/>
      </c>
      <c r="J70" s="10">
        <f>AVERAGE('Per-Trial Conf'!$E85:$G85)</f>
        <v/>
      </c>
      <c r="K70" s="10">
        <f>IF(COUNT('Per-Trial Conf'!$E85:$G85)&gt;1,STDEV('Per-Trial Conf'!$E85:$G85)/SQRT(COUNT('Per-Trial Conf'!$E85:$G85)),0)</f>
        <v/>
      </c>
      <c r="L70" s="10">
        <f>AVERAGE('Per-Trial Conf'!$H85:$J85)</f>
        <v/>
      </c>
      <c r="M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Conf'!$D86</f>
        <v/>
      </c>
      <c r="G71" s="10">
        <f>IF(J71&gt;0,-$B$3*LN(J71),"")</f>
        <v/>
      </c>
      <c r="H71" s="10">
        <f>IF(G71="","",EXP(-G71/$B$3))</f>
        <v/>
      </c>
      <c r="I71" s="10">
        <f>IF(H71="","",H71/SUM(H$69:H$72))</f>
        <v/>
      </c>
      <c r="J71" s="10">
        <f>AVERAGE('Per-Trial Conf'!$E86:$G86)</f>
        <v/>
      </c>
      <c r="K71" s="10">
        <f>IF(COUNT('Per-Trial Conf'!$E86:$G86)&gt;1,STDEV('Per-Trial Conf'!$E86:$G86)/SQRT(COUNT('Per-Trial Conf'!$E86:$G86)),0)</f>
        <v/>
      </c>
      <c r="L71" s="10">
        <f>AVERAGE('Per-Trial Conf'!$H86:$J86)</f>
        <v/>
      </c>
      <c r="M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Conf'!$D87</f>
        <v/>
      </c>
      <c r="G72" s="10">
        <f>IF(J72&gt;0,-$B$3*LN(J72),"")</f>
        <v/>
      </c>
      <c r="H72" s="10">
        <f>IF(G72="","",EXP(-G72/$B$3))</f>
        <v/>
      </c>
      <c r="I72" s="10">
        <f>IF(H72="","",H72/SUM(H$69:H$72))</f>
        <v/>
      </c>
      <c r="J72" s="10">
        <f>AVERAGE('Per-Trial Conf'!$E87:$G87)</f>
        <v/>
      </c>
      <c r="K72" s="10">
        <f>IF(COUNT('Per-Trial Conf'!$E87:$G87)&gt;1,STDEV('Per-Trial Conf'!$E87:$G87)/SQRT(COUNT('Per-Trial Conf'!$E87:$G87)),0)</f>
        <v/>
      </c>
      <c r="L72" s="10">
        <f>AVERAGE('Per-Trial Conf'!$H87:$J87)</f>
        <v/>
      </c>
      <c r="M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Conf'!$D88</f>
        <v/>
      </c>
      <c r="G76" s="10">
        <f>IF(J76&gt;0,-$B$3*LN(J76),"")</f>
        <v/>
      </c>
      <c r="H76" s="10">
        <f>IF(G76="","",EXP(-G76/$B$3))</f>
        <v/>
      </c>
      <c r="I76" s="10">
        <f>IF(H76="","",H76/SUM(H$76:H$79))</f>
        <v/>
      </c>
      <c r="J76" s="10">
        <f>AVERAGE('Per-Trial Conf'!$E88:$G88)</f>
        <v/>
      </c>
      <c r="K76" s="10">
        <f>IF(COUNT('Per-Trial Conf'!$E88:$G88)&gt;1,STDEV('Per-Trial Conf'!$E88:$G88)/SQRT(COUNT('Per-Trial Conf'!$E88:$G88)),0)</f>
        <v/>
      </c>
      <c r="L76" s="10">
        <f>AVERAGE('Per-Trial Conf'!$H88:$J88)</f>
        <v/>
      </c>
      <c r="M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Conf'!$D89</f>
        <v/>
      </c>
      <c r="G77" s="10">
        <f>IF(J77&gt;0,-$B$3*LN(J77),"")</f>
        <v/>
      </c>
      <c r="H77" s="10">
        <f>IF(G77="","",EXP(-G77/$B$3))</f>
        <v/>
      </c>
      <c r="I77" s="10">
        <f>IF(H77="","",H77/SUM(H$76:H$79))</f>
        <v/>
      </c>
      <c r="J77" s="10">
        <f>AVERAGE('Per-Trial Conf'!$E89:$G89)</f>
        <v/>
      </c>
      <c r="K77" s="10">
        <f>IF(COUNT('Per-Trial Conf'!$E89:$G89)&gt;1,STDEV('Per-Trial Conf'!$E89:$G89)/SQRT(COUNT('Per-Trial Conf'!$E89:$G89)),0)</f>
        <v/>
      </c>
      <c r="L77" s="10">
        <f>AVERAGE('Per-Trial Conf'!$H89:$J89)</f>
        <v/>
      </c>
      <c r="M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Conf'!$D90</f>
        <v/>
      </c>
      <c r="G78" s="10">
        <f>IF(J78&gt;0,-$B$3*LN(J78),"")</f>
        <v/>
      </c>
      <c r="H78" s="10">
        <f>IF(G78="","",EXP(-G78/$B$3))</f>
        <v/>
      </c>
      <c r="I78" s="10">
        <f>IF(H78="","",H78/SUM(H$76:H$79))</f>
        <v/>
      </c>
      <c r="J78" s="10">
        <f>AVERAGE('Per-Trial Conf'!$E90:$G90)</f>
        <v/>
      </c>
      <c r="K78" s="10">
        <f>IF(COUNT('Per-Trial Conf'!$E90:$G90)&gt;1,STDEV('Per-Trial Conf'!$E90:$G90)/SQRT(COUNT('Per-Trial Conf'!$E90:$G90)),0)</f>
        <v/>
      </c>
      <c r="L78" s="10">
        <f>AVERAGE('Per-Trial Conf'!$H90:$J90)</f>
        <v/>
      </c>
      <c r="M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Conf'!$D91</f>
        <v/>
      </c>
      <c r="G79" s="10">
        <f>IF(J79&gt;0,-$B$3*LN(J79),"")</f>
        <v/>
      </c>
      <c r="H79" s="10">
        <f>IF(G79="","",EXP(-G79/$B$3))</f>
        <v/>
      </c>
      <c r="I79" s="10">
        <f>IF(H79="","",H79/SUM(H$76:H$79))</f>
        <v/>
      </c>
      <c r="J79" s="10">
        <f>AVERAGE('Per-Trial Conf'!$E91:$G91)</f>
        <v/>
      </c>
      <c r="K79" s="10">
        <f>IF(COUNT('Per-Trial Conf'!$E91:$G91)&gt;1,STDEV('Per-Trial Conf'!$E91:$G91)/SQRT(COUNT('Per-Trial Conf'!$E91:$G91)),0)</f>
        <v/>
      </c>
      <c r="L79" s="10">
        <f>AVERAGE('Per-Trial Conf'!$H91:$J91)</f>
        <v/>
      </c>
      <c r="M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Conf'!$D125</f>
        <v/>
      </c>
      <c r="G83" s="10">
        <f>IF(J83&gt;0,-$B$3*LN(J83),"")</f>
        <v/>
      </c>
      <c r="H83" s="10">
        <f>IF(G83="","",EXP(-G83/$B$3))</f>
        <v/>
      </c>
      <c r="I83" s="10">
        <f>IF(H83="","",H83/SUM(H$83:H$86))</f>
        <v/>
      </c>
      <c r="J83" s="10">
        <f>AVERAGE('Per-Trial Conf'!$E125:$G125)</f>
        <v/>
      </c>
      <c r="K83" s="10">
        <f>IF(COUNT('Per-Trial Conf'!$E125:$G125)&gt;1,STDEV('Per-Trial Conf'!$E125:$G125)/SQRT(COUNT('Per-Trial Conf'!$E125:$G125)),0)</f>
        <v/>
      </c>
      <c r="L83" s="10">
        <f>AVERAGE('Per-Trial Conf'!$H125:$J125)</f>
        <v/>
      </c>
      <c r="M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Conf'!$D126</f>
        <v/>
      </c>
      <c r="G84" s="10">
        <f>IF(J84&gt;0,-$B$3*LN(J84),"")</f>
        <v/>
      </c>
      <c r="H84" s="10">
        <f>IF(G84="","",EXP(-G84/$B$3))</f>
        <v/>
      </c>
      <c r="I84" s="10">
        <f>IF(H84="","",H84/SUM(H$83:H$86))</f>
        <v/>
      </c>
      <c r="J84" s="10">
        <f>AVERAGE('Per-Trial Conf'!$E126:$G126)</f>
        <v/>
      </c>
      <c r="K84" s="10">
        <f>IF(COUNT('Per-Trial Conf'!$E126:$G126)&gt;1,STDEV('Per-Trial Conf'!$E126:$G126)/SQRT(COUNT('Per-Trial Conf'!$E126:$G126)),0)</f>
        <v/>
      </c>
      <c r="L84" s="10">
        <f>AVERAGE('Per-Trial Conf'!$H126:$J126)</f>
        <v/>
      </c>
      <c r="M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Conf'!$D127</f>
        <v/>
      </c>
      <c r="G85" s="10">
        <f>IF(J85&gt;0,-$B$3*LN(J85),"")</f>
        <v/>
      </c>
      <c r="H85" s="10">
        <f>IF(G85="","",EXP(-G85/$B$3))</f>
        <v/>
      </c>
      <c r="I85" s="10">
        <f>IF(H85="","",H85/SUM(H$83:H$86))</f>
        <v/>
      </c>
      <c r="J85" s="10">
        <f>AVERAGE('Per-Trial Conf'!$E127:$G127)</f>
        <v/>
      </c>
      <c r="K85" s="10">
        <f>IF(COUNT('Per-Trial Conf'!$E127:$G127)&gt;1,STDEV('Per-Trial Conf'!$E127:$G127)/SQRT(COUNT('Per-Trial Conf'!$E127:$G127)),0)</f>
        <v/>
      </c>
      <c r="L85" s="10">
        <f>AVERAGE('Per-Trial Conf'!$H127:$J127)</f>
        <v/>
      </c>
      <c r="M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Conf'!$D128</f>
        <v/>
      </c>
      <c r="G86" s="10">
        <f>IF(J86&gt;0,-$B$3*LN(J86),"")</f>
        <v/>
      </c>
      <c r="H86" s="10">
        <f>IF(G86="","",EXP(-G86/$B$3))</f>
        <v/>
      </c>
      <c r="I86" s="10">
        <f>IF(H86="","",H86/SUM(H$83:H$86))</f>
        <v/>
      </c>
      <c r="J86" s="10">
        <f>AVERAGE('Per-Trial Conf'!$E128:$G128)</f>
        <v/>
      </c>
      <c r="K86" s="10">
        <f>IF(COUNT('Per-Trial Conf'!$E128:$G128)&gt;1,STDEV('Per-Trial Conf'!$E128:$G128)/SQRT(COUNT('Per-Trial Conf'!$E128:$G128)),0)</f>
        <v/>
      </c>
      <c r="L86" s="10">
        <f>AVERAGE('Per-Trial Conf'!$H128:$J128)</f>
        <v/>
      </c>
      <c r="M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Conf'!$D129</f>
        <v/>
      </c>
      <c r="G90" s="10">
        <f>IF(J90&gt;0,-$B$3*LN(J90),"")</f>
        <v/>
      </c>
      <c r="H90" s="10">
        <f>IF(G90="","",EXP(-G90/$B$3))</f>
        <v/>
      </c>
      <c r="I90" s="10">
        <f>IF(H90="","",H90/SUM(H$90:H$93))</f>
        <v/>
      </c>
      <c r="J90" s="10">
        <f>AVERAGE('Per-Trial Conf'!$E129:$G129)</f>
        <v/>
      </c>
      <c r="K90" s="10">
        <f>IF(COUNT('Per-Trial Conf'!$E129:$G129)&gt;1,STDEV('Per-Trial Conf'!$E129:$G129)/SQRT(COUNT('Per-Trial Conf'!$E129:$G129)),0)</f>
        <v/>
      </c>
      <c r="L90" s="10">
        <f>AVERAGE('Per-Trial Conf'!$H129:$J129)</f>
        <v/>
      </c>
      <c r="M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Conf'!$D130</f>
        <v/>
      </c>
      <c r="G91" s="10">
        <f>IF(J91&gt;0,-$B$3*LN(J91),"")</f>
        <v/>
      </c>
      <c r="H91" s="10">
        <f>IF(G91="","",EXP(-G91/$B$3))</f>
        <v/>
      </c>
      <c r="I91" s="10">
        <f>IF(H91="","",H91/SUM(H$90:H$93))</f>
        <v/>
      </c>
      <c r="J91" s="10">
        <f>AVERAGE('Per-Trial Conf'!$E130:$G130)</f>
        <v/>
      </c>
      <c r="K91" s="10">
        <f>IF(COUNT('Per-Trial Conf'!$E130:$G130)&gt;1,STDEV('Per-Trial Conf'!$E130:$G130)/SQRT(COUNT('Per-Trial Conf'!$E130:$G130)),0)</f>
        <v/>
      </c>
      <c r="L91" s="10">
        <f>AVERAGE('Per-Trial Conf'!$H130:$J130)</f>
        <v/>
      </c>
      <c r="M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Conf'!$D131</f>
        <v/>
      </c>
      <c r="G92" s="10">
        <f>IF(J92&gt;0,-$B$3*LN(J92),"")</f>
        <v/>
      </c>
      <c r="H92" s="10">
        <f>IF(G92="","",EXP(-G92/$B$3))</f>
        <v/>
      </c>
      <c r="I92" s="10">
        <f>IF(H92="","",H92/SUM(H$90:H$93))</f>
        <v/>
      </c>
      <c r="J92" s="10">
        <f>AVERAGE('Per-Trial Conf'!$E131:$G131)</f>
        <v/>
      </c>
      <c r="K92" s="10">
        <f>IF(COUNT('Per-Trial Conf'!$E131:$G131)&gt;1,STDEV('Per-Trial Conf'!$E131:$G131)/SQRT(COUNT('Per-Trial Conf'!$E131:$G131)),0)</f>
        <v/>
      </c>
      <c r="L92" s="10">
        <f>AVERAGE('Per-Trial Conf'!$H131:$J131)</f>
        <v/>
      </c>
      <c r="M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Conf'!$D132</f>
        <v/>
      </c>
      <c r="G93" s="10">
        <f>IF(J93&gt;0,-$B$3*LN(J93),"")</f>
        <v/>
      </c>
      <c r="H93" s="10">
        <f>IF(G93="","",EXP(-G93/$B$3))</f>
        <v/>
      </c>
      <c r="I93" s="10">
        <f>IF(H93="","",H93/SUM(H$90:H$93))</f>
        <v/>
      </c>
      <c r="J93" s="10">
        <f>AVERAGE('Per-Trial Conf'!$E132:$G132)</f>
        <v/>
      </c>
      <c r="K93" s="10">
        <f>IF(COUNT('Per-Trial Conf'!$E132:$G132)&gt;1,STDEV('Per-Trial Conf'!$E132:$G132)/SQRT(COUNT('Per-Trial Conf'!$E132:$G132)),0)</f>
        <v/>
      </c>
      <c r="L93" s="10">
        <f>AVERAGE('Per-Trial Conf'!$H132:$J132)</f>
        <v/>
      </c>
      <c r="M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Conf'!$D133</f>
        <v/>
      </c>
      <c r="G97" s="10">
        <f>IF(J97&gt;0,-$B$3*LN(J97),"")</f>
        <v/>
      </c>
      <c r="H97" s="10">
        <f>IF(G97="","",EXP(-G97/$B$3))</f>
        <v/>
      </c>
      <c r="I97" s="10">
        <f>IF(H97="","",H97/SUM(H$97:H$100))</f>
        <v/>
      </c>
      <c r="J97" s="10">
        <f>AVERAGE('Per-Trial Conf'!$E133:$G133)</f>
        <v/>
      </c>
      <c r="K97" s="10">
        <f>IF(COUNT('Per-Trial Conf'!$E133:$G133)&gt;1,STDEV('Per-Trial Conf'!$E133:$G133)/SQRT(COUNT('Per-Trial Conf'!$E133:$G133)),0)</f>
        <v/>
      </c>
      <c r="L97" s="10">
        <f>AVERAGE('Per-Trial Conf'!$H133:$J133)</f>
        <v/>
      </c>
      <c r="M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Conf'!$D134</f>
        <v/>
      </c>
      <c r="G98" s="10">
        <f>IF(J98&gt;0,-$B$3*LN(J98),"")</f>
        <v/>
      </c>
      <c r="H98" s="10">
        <f>IF(G98="","",EXP(-G98/$B$3))</f>
        <v/>
      </c>
      <c r="I98" s="10">
        <f>IF(H98="","",H98/SUM(H$97:H$100))</f>
        <v/>
      </c>
      <c r="J98" s="10">
        <f>AVERAGE('Per-Trial Conf'!$E134:$G134)</f>
        <v/>
      </c>
      <c r="K98" s="10">
        <f>IF(COUNT('Per-Trial Conf'!$E134:$G134)&gt;1,STDEV('Per-Trial Conf'!$E134:$G134)/SQRT(COUNT('Per-Trial Conf'!$E134:$G134)),0)</f>
        <v/>
      </c>
      <c r="L98" s="10">
        <f>AVERAGE('Per-Trial Conf'!$H134:$J134)</f>
        <v/>
      </c>
      <c r="M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Conf'!$D135</f>
        <v/>
      </c>
      <c r="G99" s="10">
        <f>IF(J99&gt;0,-$B$3*LN(J99),"")</f>
        <v/>
      </c>
      <c r="H99" s="10">
        <f>IF(G99="","",EXP(-G99/$B$3))</f>
        <v/>
      </c>
      <c r="I99" s="10">
        <f>IF(H99="","",H99/SUM(H$97:H$100))</f>
        <v/>
      </c>
      <c r="J99" s="10">
        <f>AVERAGE('Per-Trial Conf'!$E135:$G135)</f>
        <v/>
      </c>
      <c r="K99" s="10">
        <f>IF(COUNT('Per-Trial Conf'!$E135:$G135)&gt;1,STDEV('Per-Trial Conf'!$E135:$G135)/SQRT(COUNT('Per-Trial Conf'!$E135:$G135)),0)</f>
        <v/>
      </c>
      <c r="L99" s="10">
        <f>AVERAGE('Per-Trial Conf'!$H135:$J135)</f>
        <v/>
      </c>
      <c r="M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Conf'!$D136</f>
        <v/>
      </c>
      <c r="G100" s="10">
        <f>IF(J100&gt;0,-$B$3*LN(J100),"")</f>
        <v/>
      </c>
      <c r="H100" s="10">
        <f>IF(G100="","",EXP(-G100/$B$3))</f>
        <v/>
      </c>
      <c r="I100" s="10">
        <f>IF(H100="","",H100/SUM(H$97:H$100))</f>
        <v/>
      </c>
      <c r="J100" s="10">
        <f>AVERAGE('Per-Trial Conf'!$E136:$G136)</f>
        <v/>
      </c>
      <c r="K100" s="10">
        <f>IF(COUNT('Per-Trial Conf'!$E136:$G136)&gt;1,STDEV('Per-Trial Conf'!$E136:$G136)/SQRT(COUNT('Per-Trial Conf'!$E136:$G136)),0)</f>
        <v/>
      </c>
      <c r="L100" s="10">
        <f>AVERAGE('Per-Trial Conf'!$H136:$J136)</f>
        <v/>
      </c>
      <c r="M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Conf'!$D6</f>
        <v/>
      </c>
      <c r="G105" s="10">
        <f>IF(J105&gt;0,-$B$3*LN(J105),"")</f>
        <v/>
      </c>
      <c r="H105" s="10">
        <f>IF(G105="","",EXP(-G105/$B$3))</f>
        <v/>
      </c>
      <c r="I105" s="10">
        <f>IF(H105="","",H105/SUM(H$105:H$106))</f>
        <v/>
      </c>
      <c r="J105" s="10">
        <f>AVERAGE('Per-Trial Conf'!$E6:$G6)</f>
        <v/>
      </c>
      <c r="K105" s="10">
        <f>IF(COUNT('Per-Trial Conf'!$E6:$G6)&gt;1,STDEV('Per-Trial Conf'!$E6:$G6)/SQRT(COUNT('Per-Trial Conf'!$E6:$G6)),0)</f>
        <v/>
      </c>
      <c r="L105" s="10">
        <f>AVERAGE('Per-Trial Conf'!$H6:$J6)</f>
        <v/>
      </c>
      <c r="M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Conf'!$D7</f>
        <v/>
      </c>
      <c r="G106" s="10">
        <f>IF(J106&gt;0,-$B$3*LN(J106),"")</f>
        <v/>
      </c>
      <c r="H106" s="10">
        <f>IF(G106="","",EXP(-G106/$B$3))</f>
        <v/>
      </c>
      <c r="I106" s="10">
        <f>IF(H106="","",H106/SUM(H$105:H$106))</f>
        <v/>
      </c>
      <c r="J106" s="10">
        <f>AVERAGE('Per-Trial Conf'!$E7:$G7)</f>
        <v/>
      </c>
      <c r="K106" s="10">
        <f>IF(COUNT('Per-Trial Conf'!$E7:$G7)&gt;1,STDEV('Per-Trial Conf'!$E7:$G7)/SQRT(COUNT('Per-Trial Conf'!$E7:$G7)),0)</f>
        <v/>
      </c>
      <c r="L106" s="10">
        <f>AVERAGE('Per-Trial Conf'!$H7:$J7)</f>
        <v/>
      </c>
      <c r="M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Conf'!$D137</f>
        <v/>
      </c>
      <c r="G110" s="10">
        <f>IF(J110&gt;0,-$B$3*LN(J110),"")</f>
        <v/>
      </c>
      <c r="H110" s="10">
        <f>IF(G110="","",EXP(-G110/$B$3))</f>
        <v/>
      </c>
      <c r="I110" s="10">
        <f>IF(H110="","",H110/SUM(H$110:H$111))</f>
        <v/>
      </c>
      <c r="J110" s="10">
        <f>AVERAGE('Per-Trial Conf'!$E137:$G137)</f>
        <v/>
      </c>
      <c r="K110" s="10">
        <f>IF(COUNT('Per-Trial Conf'!$E137:$G137)&gt;1,STDEV('Per-Trial Conf'!$E137:$G137)/SQRT(COUNT('Per-Trial Conf'!$E137:$G137)),0)</f>
        <v/>
      </c>
      <c r="L110" s="10">
        <f>AVERAGE('Per-Trial Conf'!$H137:$J137)</f>
        <v/>
      </c>
      <c r="M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Conf'!$D138</f>
        <v/>
      </c>
      <c r="G111" s="10">
        <f>IF(J111&gt;0,-$B$3*LN(J111),"")</f>
        <v/>
      </c>
      <c r="H111" s="10">
        <f>IF(G111="","",EXP(-G111/$B$3))</f>
        <v/>
      </c>
      <c r="I111" s="10">
        <f>IF(H111="","",H111/SUM(H$110:H$111))</f>
        <v/>
      </c>
      <c r="J111" s="10">
        <f>AVERAGE('Per-Trial Conf'!$E138:$G138)</f>
        <v/>
      </c>
      <c r="K111" s="10">
        <f>IF(COUNT('Per-Trial Conf'!$E138:$G138)&gt;1,STDEV('Per-Trial Conf'!$E138:$G138)/SQRT(COUNT('Per-Trial Conf'!$E138:$G138)),0)</f>
        <v/>
      </c>
      <c r="L111" s="10">
        <f>AVERAGE('Per-Trial Conf'!$H138:$J138)</f>
        <v/>
      </c>
      <c r="M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Conf'!$D68</f>
        <v/>
      </c>
      <c r="G116" s="10">
        <f>IF(J116&gt;0,-$B$3*LN(J116),"")</f>
        <v/>
      </c>
      <c r="H116" s="10">
        <f>IF(G116="","",EXP(-G116/$B$3))</f>
        <v/>
      </c>
      <c r="I116" s="10">
        <f>IF(H116="","",H116/SUM(H$116:H$118))</f>
        <v/>
      </c>
      <c r="J116" s="10">
        <f>AVERAGE('Per-Trial Conf'!$E68:$G68)</f>
        <v/>
      </c>
      <c r="K116" s="10">
        <f>IF(COUNT('Per-Trial Conf'!$E68:$G68)&gt;1,STDEV('Per-Trial Conf'!$E68:$G68)/SQRT(COUNT('Per-Trial Conf'!$E68:$G68)),0)</f>
        <v/>
      </c>
      <c r="L116" s="10">
        <f>AVERAGE('Per-Trial Conf'!$H68:$J68)</f>
        <v/>
      </c>
      <c r="M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Conf'!$D69</f>
        <v/>
      </c>
      <c r="G117" s="10">
        <f>IF(J117&gt;0,-$B$3*LN(J117),"")</f>
        <v/>
      </c>
      <c r="H117" s="10">
        <f>IF(G117="","",EXP(-G117/$B$3))</f>
        <v/>
      </c>
      <c r="I117" s="10">
        <f>IF(H117="","",H117/SUM(H$116:H$118))</f>
        <v/>
      </c>
      <c r="J117" s="10">
        <f>AVERAGE('Per-Trial Conf'!$E69:$G69)</f>
        <v/>
      </c>
      <c r="K117" s="10">
        <f>IF(COUNT('Per-Trial Conf'!$E69:$G69)&gt;1,STDEV('Per-Trial Conf'!$E69:$G69)/SQRT(COUNT('Per-Trial Conf'!$E69:$G69)),0)</f>
        <v/>
      </c>
      <c r="L117" s="10">
        <f>AVERAGE('Per-Trial Conf'!$H69:$J69)</f>
        <v/>
      </c>
      <c r="M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Conf'!$D70</f>
        <v/>
      </c>
      <c r="G118" s="10">
        <f>IF(J118&gt;0,-$B$3*LN(J118),"")</f>
        <v/>
      </c>
      <c r="H118" s="10">
        <f>IF(G118="","",EXP(-G118/$B$3))</f>
        <v/>
      </c>
      <c r="I118" s="10">
        <f>IF(H118="","",H118/SUM(H$116:H$118))</f>
        <v/>
      </c>
      <c r="J118" s="10">
        <f>AVERAGE('Per-Trial Conf'!$E70:$G70)</f>
        <v/>
      </c>
      <c r="K118" s="10">
        <f>IF(COUNT('Per-Trial Conf'!$E70:$G70)&gt;1,STDEV('Per-Trial Conf'!$E70:$G70)/SQRT(COUNT('Per-Trial Conf'!$E70:$G70)),0)</f>
        <v/>
      </c>
      <c r="L118" s="10">
        <f>AVERAGE('Per-Trial Conf'!$H70:$J70)</f>
        <v/>
      </c>
      <c r="M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3" t="inlineStr">
        <is>
          <t>N11, N26, N32</t>
        </is>
      </c>
      <c r="E123" s="3" t="inlineStr">
        <is>
          <t>0WN+1</t>
        </is>
      </c>
      <c r="F123" s="10">
        <f>'Per-Trial Conf'!$D96</f>
        <v/>
      </c>
      <c r="G123" s="10">
        <f>IF(J123&gt;0,-$B$3*LN(J123),"")</f>
        <v/>
      </c>
      <c r="H123" s="10">
        <f>IF(G123="","",EXP(-G123/$B$3))</f>
        <v/>
      </c>
      <c r="I123" s="10">
        <f>IF(H123="","",H123/SUM(H$123:H$125))</f>
        <v/>
      </c>
      <c r="J123" s="10">
        <f>AVERAGE('Per-Trial Conf'!$E96:$G96)</f>
        <v/>
      </c>
      <c r="K123" s="10">
        <f>IF(COUNT('Per-Trial Conf'!$E96:$G96)&gt;1,STDEV('Per-Trial Conf'!$E96:$G96)/SQRT(COUNT('Per-Trial Conf'!$E96:$G96)),0)</f>
        <v/>
      </c>
      <c r="L123" s="10">
        <f>AVERAGE('Per-Trial Conf'!$H96:$J96)</f>
        <v/>
      </c>
      <c r="M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0WN+2</t>
        </is>
      </c>
      <c r="D124" s="3" t="inlineStr">
        <is>
          <t>N11, N26, N3, N32</t>
        </is>
      </c>
      <c r="E124" s="3" t="inlineStr">
        <is>
          <t>0WN+a</t>
        </is>
      </c>
      <c r="F124" s="10">
        <f>'Per-Trial Conf'!$D97</f>
        <v/>
      </c>
      <c r="G124" s="10">
        <f>IF(J124&gt;0,-$B$3*LN(J124),"")</f>
        <v/>
      </c>
      <c r="H124" s="10">
        <f>IF(G124="","",EXP(-G124/$B$3))</f>
        <v/>
      </c>
      <c r="I124" s="10">
        <f>IF(H124="","",H124/SUM(H$123:H$125))</f>
        <v/>
      </c>
      <c r="J124" s="10">
        <f>AVERAGE('Per-Trial Conf'!$E97:$G97)</f>
        <v/>
      </c>
      <c r="K124" s="10">
        <f>IF(COUNT('Per-Trial Conf'!$E97:$G97)&gt;1,STDEV('Per-Trial Conf'!$E97:$G97)/SQRT(COUNT('Per-Trial Conf'!$E97:$G97)),0)</f>
        <v/>
      </c>
      <c r="L124" s="10">
        <f>AVERAGE('Per-Trial Conf'!$H97:$J97)</f>
        <v/>
      </c>
      <c r="M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 0</t>
        </is>
      </c>
      <c r="D125" s="3" t="inlineStr">
        <is>
          <t>N11, N26</t>
        </is>
      </c>
      <c r="E125" s="3" t="inlineStr">
        <is>
          <t>0WN01</t>
        </is>
      </c>
      <c r="F125" s="10">
        <f>'Per-Trial Conf'!$D98</f>
        <v/>
      </c>
      <c r="G125" s="10">
        <f>IF(J125&gt;0,-$B$3*LN(J125),"")</f>
        <v/>
      </c>
      <c r="H125" s="10">
        <f>IF(G125="","",EXP(-G125/$B$3))</f>
        <v/>
      </c>
      <c r="I125" s="10">
        <f>IF(H125="","",H125/SUM(H$123:H$125))</f>
        <v/>
      </c>
      <c r="J125" s="10">
        <f>AVERAGE('Per-Trial Conf'!$E98:$G98)</f>
        <v/>
      </c>
      <c r="K125" s="10">
        <f>IF(COUNT('Per-Trial Conf'!$E98:$G98)&gt;1,STDEV('Per-Trial Conf'!$E98:$G98)/SQRT(COUNT('Per-Trial Conf'!$E98:$G98)),0)</f>
        <v/>
      </c>
      <c r="L125" s="10">
        <f>AVERAGE('Per-Trial Conf'!$H98:$J98)</f>
        <v/>
      </c>
      <c r="M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n"/>
      <c r="D126" s="6" t="n"/>
      <c r="E126" s="6" t="inlineStr">
        <is>
          <t>SUM</t>
        </is>
      </c>
      <c r="F126" s="12" t="n"/>
      <c r="G126" s="12" t="n"/>
      <c r="H126" s="12">
        <f>SUM(H123:H125)</f>
        <v/>
      </c>
      <c r="I126" s="12">
        <f>SUM(I123:I125)</f>
        <v/>
      </c>
      <c r="J126" s="12">
        <f>SUM(J123:J125)</f>
        <v/>
      </c>
      <c r="K126" s="12" t="n"/>
      <c r="L126" s="12">
        <f>SUM(L123:L125)</f>
        <v/>
      </c>
      <c r="M126" s="12" t="n"/>
    </row>
    <row r="127">
      <c r="A127" s="6" t="n"/>
      <c r="B127" s="6" t="n"/>
      <c r="C127" s="6" t="n"/>
      <c r="D127" s="6" t="n"/>
      <c r="E127" s="6" t="inlineStr">
        <is>
          <t>ensemble charge</t>
        </is>
      </c>
      <c r="F127" s="12" t="n"/>
      <c r="G127" s="12" t="n"/>
      <c r="H127" s="12" t="n"/>
      <c r="I127" s="12">
        <f>SUMPRODUCT($F123:$F125,I123:I125)</f>
        <v/>
      </c>
      <c r="J127" s="12">
        <f>SUMPRODUCT($F123:$F125,J123:J125)</f>
        <v/>
      </c>
      <c r="K127" s="12" t="n"/>
      <c r="L127" s="12">
        <f>SUMPRODUCT($F123:$F125,L123:L125)</f>
        <v/>
      </c>
      <c r="M127" s="12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Conf'!$D99</f>
        <v/>
      </c>
      <c r="G129" s="10">
        <f>IF(J129&gt;0,-$B$3*LN(J129),"")</f>
        <v/>
      </c>
      <c r="H129" s="10">
        <f>IF(G129="","",EXP(-G129/$B$3))</f>
        <v/>
      </c>
      <c r="I129" s="10">
        <f>IF(H129="","",H129/SUM(H$129:H$131))</f>
        <v/>
      </c>
      <c r="J129" s="10">
        <f>AVERAGE('Per-Trial Conf'!$E99:$G99)</f>
        <v/>
      </c>
      <c r="K129" s="10">
        <f>IF(COUNT('Per-Trial Conf'!$E99:$G99)&gt;1,STDEV('Per-Trial Conf'!$E99:$G99)/SQRT(COUNT('Per-Trial Conf'!$E99:$G99)),0)</f>
        <v/>
      </c>
      <c r="L129" s="10">
        <f>AVERAGE('Per-Trial Conf'!$H99:$J99)</f>
        <v/>
      </c>
      <c r="M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Conf'!$D100</f>
        <v/>
      </c>
      <c r="G130" s="10">
        <f>IF(J130&gt;0,-$B$3*LN(J130),"")</f>
        <v/>
      </c>
      <c r="H130" s="10">
        <f>IF(G130="","",EXP(-G130/$B$3))</f>
        <v/>
      </c>
      <c r="I130" s="10">
        <f>IF(H130="","",H130/SUM(H$129:H$131))</f>
        <v/>
      </c>
      <c r="J130" s="10">
        <f>AVERAGE('Per-Trial Conf'!$E100:$G100)</f>
        <v/>
      </c>
      <c r="K130" s="10">
        <f>IF(COUNT('Per-Trial Conf'!$E100:$G100)&gt;1,STDEV('Per-Trial Conf'!$E100:$G100)/SQRT(COUNT('Per-Trial Conf'!$E100:$G100)),0)</f>
        <v/>
      </c>
      <c r="L130" s="10">
        <f>AVERAGE('Per-Trial Conf'!$H100:$J100)</f>
        <v/>
      </c>
      <c r="M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Conf'!$D101</f>
        <v/>
      </c>
      <c r="G131" s="10">
        <f>IF(J131&gt;0,-$B$3*LN(J131),"")</f>
        <v/>
      </c>
      <c r="H131" s="10">
        <f>IF(G131="","",EXP(-G131/$B$3))</f>
        <v/>
      </c>
      <c r="I131" s="10">
        <f>IF(H131="","",H131/SUM(H$129:H$131))</f>
        <v/>
      </c>
      <c r="J131" s="10">
        <f>AVERAGE('Per-Trial Conf'!$E101:$G101)</f>
        <v/>
      </c>
      <c r="K131" s="10">
        <f>IF(COUNT('Per-Trial Conf'!$E101:$G101)&gt;1,STDEV('Per-Trial Conf'!$E101:$G101)/SQRT(COUNT('Per-Trial Conf'!$E101:$G101)),0)</f>
        <v/>
      </c>
      <c r="L131" s="10">
        <f>AVERAGE('Per-Trial Conf'!$H101:$J101)</f>
        <v/>
      </c>
      <c r="M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IRE+1a</t>
        </is>
      </c>
      <c r="D135" s="3" t="inlineStr">
        <is>
          <t>NAS, NBE</t>
        </is>
      </c>
      <c r="E135" s="3" t="inlineStr">
        <is>
          <t>IRE+1</t>
        </is>
      </c>
      <c r="F135" s="10">
        <f>'Per-Trial Conf'!$D13</f>
        <v/>
      </c>
      <c r="G135" s="10">
        <f>IF(J135&gt;0,-$B$3*LN(J135),"")</f>
        <v/>
      </c>
      <c r="H135" s="10">
        <f>IF(G135="","",EXP(-G135/$B$3))</f>
        <v/>
      </c>
      <c r="I135" s="10">
        <f>IF(H135="","",H135/SUM(H$135:H$139))</f>
        <v/>
      </c>
      <c r="J135" s="10">
        <f>AVERAGE('Per-Trial Conf'!$E13:$G13)</f>
        <v/>
      </c>
      <c r="K135" s="10">
        <f>IF(COUNT('Per-Trial Conf'!$E13:$G13)&gt;1,STDEV('Per-Trial Conf'!$E13:$G13)/SQRT(COUNT('Per-Trial Conf'!$E13:$G13)),0)</f>
        <v/>
      </c>
      <c r="L135" s="10">
        <f>AVERAGE('Per-Trial Conf'!$H13:$J13)</f>
        <v/>
      </c>
      <c r="M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IRE+1b</t>
        </is>
      </c>
      <c r="D136" s="3" t="inlineStr">
        <is>
          <t>N3, NAS</t>
        </is>
      </c>
      <c r="E136" s="3" t="inlineStr">
        <is>
          <t>IRE+2</t>
        </is>
      </c>
      <c r="F136" s="10">
        <f>'Per-Trial Conf'!$D14</f>
        <v/>
      </c>
      <c r="G136" s="10">
        <f>IF(J136&gt;0,-$B$3*LN(J136),"")</f>
        <v/>
      </c>
      <c r="H136" s="10">
        <f>IF(G136="","",EXP(-G136/$B$3))</f>
        <v/>
      </c>
      <c r="I136" s="10">
        <f>IF(H136="","",H136/SUM(H$135:H$139))</f>
        <v/>
      </c>
      <c r="J136" s="10">
        <f>AVERAGE('Per-Trial Conf'!$E14:$G14)</f>
        <v/>
      </c>
      <c r="K136" s="10">
        <f>IF(COUNT('Per-Trial Conf'!$E14:$G14)&gt;1,STDEV('Per-Trial Conf'!$E14:$G14)/SQRT(COUNT('Per-Trial Conf'!$E14:$G14)),0)</f>
        <v/>
      </c>
      <c r="L136" s="10">
        <f>AVERAGE('Per-Trial Conf'!$H14:$J14)</f>
        <v/>
      </c>
      <c r="M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IRE+1c</t>
        </is>
      </c>
      <c r="D137" s="3" t="inlineStr">
        <is>
          <t>N3, NAS</t>
        </is>
      </c>
      <c r="E137" s="3" t="inlineStr">
        <is>
          <t>IRE+3</t>
        </is>
      </c>
      <c r="F137" s="10">
        <f>'Per-Trial Conf'!$D15</f>
        <v/>
      </c>
      <c r="G137" s="10">
        <f>IF(J137&gt;0,-$B$3*LN(J137),"")</f>
        <v/>
      </c>
      <c r="H137" s="10">
        <f>IF(G137="","",EXP(-G137/$B$3))</f>
        <v/>
      </c>
      <c r="I137" s="10">
        <f>IF(H137="","",H137/SUM(H$135:H$139))</f>
        <v/>
      </c>
      <c r="J137" s="10">
        <f>AVERAGE('Per-Trial Conf'!$E15:$G15)</f>
        <v/>
      </c>
      <c r="K137" s="10">
        <f>IF(COUNT('Per-Trial Conf'!$E15:$G15)&gt;1,STDEV('Per-Trial Conf'!$E15:$G15)/SQRT(COUNT('Per-Trial Conf'!$E15:$G15)),0)</f>
        <v/>
      </c>
      <c r="L137" s="10">
        <f>AVERAGE('Per-Trial Conf'!$H15:$J15)</f>
        <v/>
      </c>
      <c r="M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IRE+2</t>
        </is>
      </c>
      <c r="D138" s="3" t="inlineStr">
        <is>
          <t>N3, NAS, NBE</t>
        </is>
      </c>
      <c r="E138" s="3" t="inlineStr">
        <is>
          <t>IRE+a</t>
        </is>
      </c>
      <c r="F138" s="10">
        <f>'Per-Trial Conf'!$D16</f>
        <v/>
      </c>
      <c r="G138" s="10">
        <f>IF(J138&gt;0,-$B$3*LN(J138),"")</f>
        <v/>
      </c>
      <c r="H138" s="10">
        <f>IF(G138="","",EXP(-G138/$B$3))</f>
        <v/>
      </c>
      <c r="I138" s="10">
        <f>IF(H138="","",H138/SUM(H$135:H$139))</f>
        <v/>
      </c>
      <c r="J138" s="10">
        <f>AVERAGE('Per-Trial Conf'!$E16:$G16)</f>
        <v/>
      </c>
      <c r="K138" s="10">
        <f>IF(COUNT('Per-Trial Conf'!$E16:$G16)&gt;1,STDEV('Per-Trial Conf'!$E16:$G16)/SQRT(COUNT('Per-Trial Conf'!$E16:$G16)),0)</f>
        <v/>
      </c>
      <c r="L138" s="10">
        <f>AVERAGE('Per-Trial Conf'!$H16:$J16)</f>
        <v/>
      </c>
      <c r="M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 0</t>
        </is>
      </c>
      <c r="D139" s="3" t="inlineStr">
        <is>
          <t>NAS</t>
        </is>
      </c>
      <c r="E139" s="3" t="inlineStr">
        <is>
          <t>IRE01</t>
        </is>
      </c>
      <c r="F139" s="10">
        <f>'Per-Trial Conf'!$D17</f>
        <v/>
      </c>
      <c r="G139" s="10">
        <f>IF(J139&gt;0,-$B$3*LN(J139),"")</f>
        <v/>
      </c>
      <c r="H139" s="10">
        <f>IF(G139="","",EXP(-G139/$B$3))</f>
        <v/>
      </c>
      <c r="I139" s="10">
        <f>IF(H139="","",H139/SUM(H$135:H$139))</f>
        <v/>
      </c>
      <c r="J139" s="10">
        <f>AVERAGE('Per-Trial Conf'!$E17:$G17)</f>
        <v/>
      </c>
      <c r="K139" s="10">
        <f>IF(COUNT('Per-Trial Conf'!$E17:$G17)&gt;1,STDEV('Per-Trial Conf'!$E17:$G17)/SQRT(COUNT('Per-Trial Conf'!$E17:$G17)),0)</f>
        <v/>
      </c>
      <c r="L139" s="10">
        <f>AVERAGE('Per-Trial Conf'!$H17:$J17)</f>
        <v/>
      </c>
      <c r="M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n"/>
      <c r="D140" s="6" t="n"/>
      <c r="E140" s="6" t="inlineStr">
        <is>
          <t>SUM</t>
        </is>
      </c>
      <c r="F140" s="12" t="n"/>
      <c r="G140" s="12" t="n"/>
      <c r="H140" s="12">
        <f>SUM(H135:H139)</f>
        <v/>
      </c>
      <c r="I140" s="12">
        <f>SUM(I135:I139)</f>
        <v/>
      </c>
      <c r="J140" s="12">
        <f>SUM(J135:J139)</f>
        <v/>
      </c>
      <c r="K140" s="12" t="n"/>
      <c r="L140" s="12">
        <f>SUM(L135:L139)</f>
        <v/>
      </c>
      <c r="M140" s="12" t="n"/>
    </row>
    <row r="141">
      <c r="A141" s="6" t="n"/>
      <c r="B141" s="6" t="n"/>
      <c r="C141" s="6" t="n"/>
      <c r="D141" s="6" t="n"/>
      <c r="E141" s="6" t="inlineStr">
        <is>
          <t>ensemble charge</t>
        </is>
      </c>
      <c r="F141" s="12" t="n"/>
      <c r="G141" s="12" t="n"/>
      <c r="H141" s="12" t="n"/>
      <c r="I141" s="12">
        <f>SUMPRODUCT($F135:$F139,I135:I139)</f>
        <v/>
      </c>
      <c r="J141" s="12">
        <f>SUMPRODUCT($F135:$F139,J135:J139)</f>
        <v/>
      </c>
      <c r="K141" s="12" t="n"/>
      <c r="L141" s="12">
        <f>SUMPRODUCT($F135:$F139,L135:L139)</f>
        <v/>
      </c>
      <c r="M141" s="12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IRE+1a</t>
        </is>
      </c>
      <c r="D143" s="3" t="inlineStr">
        <is>
          <t>NAS, NBE</t>
        </is>
      </c>
      <c r="E143" s="3" t="inlineStr">
        <is>
          <t>IRE+1</t>
        </is>
      </c>
      <c r="F143" s="10">
        <f>'Per-Trial Conf'!$D18</f>
        <v/>
      </c>
      <c r="G143" s="10">
        <f>IF(J143&gt;0,-$B$3*LN(J143),"")</f>
        <v/>
      </c>
      <c r="H143" s="10">
        <f>IF(G143="","",EXP(-G143/$B$3))</f>
        <v/>
      </c>
      <c r="I143" s="10">
        <f>IF(H143="","",H143/SUM(H$143:H$147))</f>
        <v/>
      </c>
      <c r="J143" s="10">
        <f>AVERAGE('Per-Trial Conf'!$E18:$G18)</f>
        <v/>
      </c>
      <c r="K143" s="10">
        <f>IF(COUNT('Per-Trial Conf'!$E18:$G18)&gt;1,STDEV('Per-Trial Conf'!$E18:$G18)/SQRT(COUNT('Per-Trial Conf'!$E18:$G18)),0)</f>
        <v/>
      </c>
      <c r="L143" s="10">
        <f>AVERAGE('Per-Trial Conf'!$H18:$J18)</f>
        <v/>
      </c>
      <c r="M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IRE+1b</t>
        </is>
      </c>
      <c r="D144" s="3" t="inlineStr">
        <is>
          <t>N3, NAS</t>
        </is>
      </c>
      <c r="E144" s="3" t="inlineStr">
        <is>
          <t>IRE+2</t>
        </is>
      </c>
      <c r="F144" s="10">
        <f>'Per-Trial Conf'!$D19</f>
        <v/>
      </c>
      <c r="G144" s="10">
        <f>IF(J144&gt;0,-$B$3*LN(J144),"")</f>
        <v/>
      </c>
      <c r="H144" s="10">
        <f>IF(G144="","",EXP(-G144/$B$3))</f>
        <v/>
      </c>
      <c r="I144" s="10">
        <f>IF(H144="","",H144/SUM(H$143:H$147))</f>
        <v/>
      </c>
      <c r="J144" s="10">
        <f>AVERAGE('Per-Trial Conf'!$E19:$G19)</f>
        <v/>
      </c>
      <c r="K144" s="10">
        <f>IF(COUNT('Per-Trial Conf'!$E19:$G19)&gt;1,STDEV('Per-Trial Conf'!$E19:$G19)/SQRT(COUNT('Per-Trial Conf'!$E19:$G19)),0)</f>
        <v/>
      </c>
      <c r="L144" s="10">
        <f>AVERAGE('Per-Trial Conf'!$H19:$J19)</f>
        <v/>
      </c>
      <c r="M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IRE+1c</t>
        </is>
      </c>
      <c r="D145" s="3" t="inlineStr">
        <is>
          <t>N3, NAS</t>
        </is>
      </c>
      <c r="E145" s="3" t="inlineStr">
        <is>
          <t>IRE+3</t>
        </is>
      </c>
      <c r="F145" s="10">
        <f>'Per-Trial Conf'!$D20</f>
        <v/>
      </c>
      <c r="G145" s="10">
        <f>IF(J145&gt;0,-$B$3*LN(J145),"")</f>
        <v/>
      </c>
      <c r="H145" s="10">
        <f>IF(G145="","",EXP(-G145/$B$3))</f>
        <v/>
      </c>
      <c r="I145" s="10">
        <f>IF(H145="","",H145/SUM(H$143:H$147))</f>
        <v/>
      </c>
      <c r="J145" s="10">
        <f>AVERAGE('Per-Trial Conf'!$E20:$G20)</f>
        <v/>
      </c>
      <c r="K145" s="10">
        <f>IF(COUNT('Per-Trial Conf'!$E20:$G20)&gt;1,STDEV('Per-Trial Conf'!$E20:$G20)/SQRT(COUNT('Per-Trial Conf'!$E20:$G20)),0)</f>
        <v/>
      </c>
      <c r="L145" s="10">
        <f>AVERAGE('Per-Trial Conf'!$H20:$J20)</f>
        <v/>
      </c>
      <c r="M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IRE+2</t>
        </is>
      </c>
      <c r="D146" s="3" t="inlineStr">
        <is>
          <t>N3, NAS, NBE</t>
        </is>
      </c>
      <c r="E146" s="3" t="inlineStr">
        <is>
          <t>IRE+a</t>
        </is>
      </c>
      <c r="F146" s="10">
        <f>'Per-Trial Conf'!$D21</f>
        <v/>
      </c>
      <c r="G146" s="10">
        <f>IF(J146&gt;0,-$B$3*LN(J146),"")</f>
        <v/>
      </c>
      <c r="H146" s="10">
        <f>IF(G146="","",EXP(-G146/$B$3))</f>
        <v/>
      </c>
      <c r="I146" s="10">
        <f>IF(H146="","",H146/SUM(H$143:H$147))</f>
        <v/>
      </c>
      <c r="J146" s="10">
        <f>AVERAGE('Per-Trial Conf'!$E21:$G21)</f>
        <v/>
      </c>
      <c r="K146" s="10">
        <f>IF(COUNT('Per-Trial Conf'!$E21:$G21)&gt;1,STDEV('Per-Trial Conf'!$E21:$G21)/SQRT(COUNT('Per-Trial Conf'!$E21:$G21)),0)</f>
        <v/>
      </c>
      <c r="L146" s="10">
        <f>AVERAGE('Per-Trial Conf'!$H21:$J21)</f>
        <v/>
      </c>
      <c r="M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 0</t>
        </is>
      </c>
      <c r="D147" s="3" t="inlineStr">
        <is>
          <t>NAS</t>
        </is>
      </c>
      <c r="E147" s="3" t="inlineStr">
        <is>
          <t>IRE01</t>
        </is>
      </c>
      <c r="F147" s="10">
        <f>'Per-Trial Conf'!$D22</f>
        <v/>
      </c>
      <c r="G147" s="10">
        <f>IF(J147&gt;0,-$B$3*LN(J147),"")</f>
        <v/>
      </c>
      <c r="H147" s="10">
        <f>IF(G147="","",EXP(-G147/$B$3))</f>
        <v/>
      </c>
      <c r="I147" s="10">
        <f>IF(H147="","",H147/SUM(H$143:H$147))</f>
        <v/>
      </c>
      <c r="J147" s="10">
        <f>AVERAGE('Per-Trial Conf'!$E22:$G22)</f>
        <v/>
      </c>
      <c r="K147" s="10">
        <f>IF(COUNT('Per-Trial Conf'!$E22:$G22)&gt;1,STDEV('Per-Trial Conf'!$E22:$G22)/SQRT(COUNT('Per-Trial Conf'!$E22:$G22)),0)</f>
        <v/>
      </c>
      <c r="L147" s="10">
        <f>AVERAGE('Per-Trial Conf'!$H22:$J22)</f>
        <v/>
      </c>
      <c r="M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n"/>
      <c r="D148" s="6" t="n"/>
      <c r="E148" s="6" t="inlineStr">
        <is>
          <t>SUM</t>
        </is>
      </c>
      <c r="F148" s="12" t="n"/>
      <c r="G148" s="12" t="n"/>
      <c r="H148" s="12">
        <f>SUM(H143:H147)</f>
        <v/>
      </c>
      <c r="I148" s="12">
        <f>SUM(I143:I147)</f>
        <v/>
      </c>
      <c r="J148" s="12">
        <f>SUM(J143:J147)</f>
        <v/>
      </c>
      <c r="K148" s="12" t="n"/>
      <c r="L148" s="12">
        <f>SUM(L143:L147)</f>
        <v/>
      </c>
      <c r="M148" s="12" t="n"/>
    </row>
    <row r="149">
      <c r="A149" s="6" t="n"/>
      <c r="B149" s="6" t="n"/>
      <c r="C149" s="6" t="n"/>
      <c r="D149" s="6" t="n"/>
      <c r="E149" s="6" t="inlineStr">
        <is>
          <t>ensemble charge</t>
        </is>
      </c>
      <c r="F149" s="12" t="n"/>
      <c r="G149" s="12" t="n"/>
      <c r="H149" s="12" t="n"/>
      <c r="I149" s="12">
        <f>SUMPRODUCT($F143:$F147,I143:I147)</f>
        <v/>
      </c>
      <c r="J149" s="12">
        <f>SUMPRODUCT($F143:$F147,J143:J147)</f>
        <v/>
      </c>
      <c r="K149" s="12" t="n"/>
      <c r="L149" s="12">
        <f>SUMPRODUCT($F143:$F147,L143:L147)</f>
        <v/>
      </c>
      <c r="M149" s="12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IRE+1a</t>
        </is>
      </c>
      <c r="D151" s="3" t="inlineStr">
        <is>
          <t>NAS, NBE</t>
        </is>
      </c>
      <c r="E151" s="3" t="inlineStr">
        <is>
          <t>IRE+1</t>
        </is>
      </c>
      <c r="F151" s="10">
        <f>'Per-Trial Conf'!$D23</f>
        <v/>
      </c>
      <c r="G151" s="10">
        <f>IF(J151&gt;0,-$B$3*LN(J151),"")</f>
        <v/>
      </c>
      <c r="H151" s="10">
        <f>IF(G151="","",EXP(-G151/$B$3))</f>
        <v/>
      </c>
      <c r="I151" s="10">
        <f>IF(H151="","",H151/SUM(H$151:H$155))</f>
        <v/>
      </c>
      <c r="J151" s="10">
        <f>AVERAGE('Per-Trial Conf'!$E23:$G23)</f>
        <v/>
      </c>
      <c r="K151" s="10">
        <f>IF(COUNT('Per-Trial Conf'!$E23:$G23)&gt;1,STDEV('Per-Trial Conf'!$E23:$G23)/SQRT(COUNT('Per-Trial Conf'!$E23:$G23)),0)</f>
        <v/>
      </c>
      <c r="L151" s="10">
        <f>AVERAGE('Per-Trial Conf'!$H23:$J23)</f>
        <v/>
      </c>
      <c r="M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IRE+1b</t>
        </is>
      </c>
      <c r="D152" s="3" t="inlineStr">
        <is>
          <t>N3, NAS</t>
        </is>
      </c>
      <c r="E152" s="3" t="inlineStr">
        <is>
          <t>IRE+2</t>
        </is>
      </c>
      <c r="F152" s="10">
        <f>'Per-Trial Conf'!$D24</f>
        <v/>
      </c>
      <c r="G152" s="10">
        <f>IF(J152&gt;0,-$B$3*LN(J152),"")</f>
        <v/>
      </c>
      <c r="H152" s="10">
        <f>IF(G152="","",EXP(-G152/$B$3))</f>
        <v/>
      </c>
      <c r="I152" s="10">
        <f>IF(H152="","",H152/SUM(H$151:H$155))</f>
        <v/>
      </c>
      <c r="J152" s="10">
        <f>AVERAGE('Per-Trial Conf'!$E24:$G24)</f>
        <v/>
      </c>
      <c r="K152" s="10">
        <f>IF(COUNT('Per-Trial Conf'!$E24:$G24)&gt;1,STDEV('Per-Trial Conf'!$E24:$G24)/SQRT(COUNT('Per-Trial Conf'!$E24:$G24)),0)</f>
        <v/>
      </c>
      <c r="L152" s="10">
        <f>AVERAGE('Per-Trial Conf'!$H24:$J24)</f>
        <v/>
      </c>
      <c r="M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IRE+1c</t>
        </is>
      </c>
      <c r="D153" s="3" t="inlineStr">
        <is>
          <t>N3, NAS</t>
        </is>
      </c>
      <c r="E153" s="3" t="inlineStr">
        <is>
          <t>IRE+3</t>
        </is>
      </c>
      <c r="F153" s="10">
        <f>'Per-Trial Conf'!$D25</f>
        <v/>
      </c>
      <c r="G153" s="10">
        <f>IF(J153&gt;0,-$B$3*LN(J153),"")</f>
        <v/>
      </c>
      <c r="H153" s="10">
        <f>IF(G153="","",EXP(-G153/$B$3))</f>
        <v/>
      </c>
      <c r="I153" s="10">
        <f>IF(H153="","",H153/SUM(H$151:H$155))</f>
        <v/>
      </c>
      <c r="J153" s="10">
        <f>AVERAGE('Per-Trial Conf'!$E25:$G25)</f>
        <v/>
      </c>
      <c r="K153" s="10">
        <f>IF(COUNT('Per-Trial Conf'!$E25:$G25)&gt;1,STDEV('Per-Trial Conf'!$E25:$G25)/SQRT(COUNT('Per-Trial Conf'!$E25:$G25)),0)</f>
        <v/>
      </c>
      <c r="L153" s="10">
        <f>AVERAGE('Per-Trial Conf'!$H25:$J25)</f>
        <v/>
      </c>
      <c r="M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IRE+2</t>
        </is>
      </c>
      <c r="D154" s="3" t="inlineStr">
        <is>
          <t>N3, NAS, NBE</t>
        </is>
      </c>
      <c r="E154" s="3" t="inlineStr">
        <is>
          <t>IRE+a</t>
        </is>
      </c>
      <c r="F154" s="10">
        <f>'Per-Trial Conf'!$D26</f>
        <v/>
      </c>
      <c r="G154" s="10">
        <f>IF(J154&gt;0,-$B$3*LN(J154),"")</f>
        <v/>
      </c>
      <c r="H154" s="10">
        <f>IF(G154="","",EXP(-G154/$B$3))</f>
        <v/>
      </c>
      <c r="I154" s="10">
        <f>IF(H154="","",H154/SUM(H$151:H$155))</f>
        <v/>
      </c>
      <c r="J154" s="10">
        <f>AVERAGE('Per-Trial Conf'!$E26:$G26)</f>
        <v/>
      </c>
      <c r="K154" s="10">
        <f>IF(COUNT('Per-Trial Conf'!$E26:$G26)&gt;1,STDEV('Per-Trial Conf'!$E26:$G26)/SQRT(COUNT('Per-Trial Conf'!$E26:$G26)),0)</f>
        <v/>
      </c>
      <c r="L154" s="10">
        <f>AVERAGE('Per-Trial Conf'!$H26:$J26)</f>
        <v/>
      </c>
      <c r="M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 0</t>
        </is>
      </c>
      <c r="D155" s="3" t="inlineStr">
        <is>
          <t>NAS</t>
        </is>
      </c>
      <c r="E155" s="3" t="inlineStr">
        <is>
          <t>IRE01</t>
        </is>
      </c>
      <c r="F155" s="10">
        <f>'Per-Trial Conf'!$D27</f>
        <v/>
      </c>
      <c r="G155" s="10">
        <f>IF(J155&gt;0,-$B$3*LN(J155),"")</f>
        <v/>
      </c>
      <c r="H155" s="10">
        <f>IF(G155="","",EXP(-G155/$B$3))</f>
        <v/>
      </c>
      <c r="I155" s="10">
        <f>IF(H155="","",H155/SUM(H$151:H$155))</f>
        <v/>
      </c>
      <c r="J155" s="10">
        <f>AVERAGE('Per-Trial Conf'!$E27:$G27)</f>
        <v/>
      </c>
      <c r="K155" s="10">
        <f>IF(COUNT('Per-Trial Conf'!$E27:$G27)&gt;1,STDEV('Per-Trial Conf'!$E27:$G27)/SQRT(COUNT('Per-Trial Conf'!$E27:$G27)),0)</f>
        <v/>
      </c>
      <c r="L155" s="10">
        <f>AVERAGE('Per-Trial Conf'!$H27:$J27)</f>
        <v/>
      </c>
      <c r="M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n"/>
      <c r="D156" s="6" t="n"/>
      <c r="E156" s="6" t="inlineStr">
        <is>
          <t>SUM</t>
        </is>
      </c>
      <c r="F156" s="12" t="n"/>
      <c r="G156" s="12" t="n"/>
      <c r="H156" s="12">
        <f>SUM(H151:H155)</f>
        <v/>
      </c>
      <c r="I156" s="12">
        <f>SUM(I151:I155)</f>
        <v/>
      </c>
      <c r="J156" s="12">
        <f>SUM(J151:J155)</f>
        <v/>
      </c>
      <c r="K156" s="12" t="n"/>
      <c r="L156" s="12">
        <f>SUM(L151:L155)</f>
        <v/>
      </c>
      <c r="M156" s="12" t="n"/>
    </row>
    <row r="157">
      <c r="A157" s="6" t="n"/>
      <c r="B157" s="6" t="n"/>
      <c r="C157" s="6" t="n"/>
      <c r="D157" s="6" t="n"/>
      <c r="E157" s="6" t="inlineStr">
        <is>
          <t>ensemble charge</t>
        </is>
      </c>
      <c r="F157" s="12" t="n"/>
      <c r="G157" s="12" t="n"/>
      <c r="H157" s="12" t="n"/>
      <c r="I157" s="12">
        <f>SUMPRODUCT($F151:$F155,I151:I155)</f>
        <v/>
      </c>
      <c r="J157" s="12">
        <f>SUMPRODUCT($F151:$F155,J151:J155)</f>
        <v/>
      </c>
      <c r="K157" s="12" t="n"/>
      <c r="L157" s="12">
        <f>SUMPRODUCT($F151:$F155,L151:L155)</f>
        <v/>
      </c>
      <c r="M157" s="12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IRE+1a</t>
        </is>
      </c>
      <c r="D159" s="3" t="inlineStr">
        <is>
          <t>NAS, NBE</t>
        </is>
      </c>
      <c r="E159" s="3" t="inlineStr">
        <is>
          <t>IRE+1</t>
        </is>
      </c>
      <c r="F159" s="10">
        <f>'Per-Trial Conf'!$D56</f>
        <v/>
      </c>
      <c r="G159" s="10">
        <f>IF(J159&gt;0,-$B$3*LN(J159),"")</f>
        <v/>
      </c>
      <c r="H159" s="10">
        <f>IF(G159="","",EXP(-G159/$B$3))</f>
        <v/>
      </c>
      <c r="I159" s="10">
        <f>IF(H159="","",H159/SUM(H$159:H$163))</f>
        <v/>
      </c>
      <c r="J159" s="10">
        <f>AVERAGE('Per-Trial Conf'!$E56:$G56)</f>
        <v/>
      </c>
      <c r="K159" s="10">
        <f>IF(COUNT('Per-Trial Conf'!$E56:$G56)&gt;1,STDEV('Per-Trial Conf'!$E56:$G56)/SQRT(COUNT('Per-Trial Conf'!$E56:$G56)),0)</f>
        <v/>
      </c>
      <c r="L159" s="10">
        <f>AVERAGE('Per-Trial Conf'!$H56:$J56)</f>
        <v/>
      </c>
      <c r="M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IRE+1b</t>
        </is>
      </c>
      <c r="D160" s="3" t="inlineStr">
        <is>
          <t>N3, NAS</t>
        </is>
      </c>
      <c r="E160" s="3" t="inlineStr">
        <is>
          <t>IRE+2</t>
        </is>
      </c>
      <c r="F160" s="10">
        <f>'Per-Trial Conf'!$D57</f>
        <v/>
      </c>
      <c r="G160" s="10">
        <f>IF(J160&gt;0,-$B$3*LN(J160),"")</f>
        <v/>
      </c>
      <c r="H160" s="10">
        <f>IF(G160="","",EXP(-G160/$B$3))</f>
        <v/>
      </c>
      <c r="I160" s="10">
        <f>IF(H160="","",H160/SUM(H$159:H$163))</f>
        <v/>
      </c>
      <c r="J160" s="10">
        <f>AVERAGE('Per-Trial Conf'!$E57:$G57)</f>
        <v/>
      </c>
      <c r="K160" s="10">
        <f>IF(COUNT('Per-Trial Conf'!$E57:$G57)&gt;1,STDEV('Per-Trial Conf'!$E57:$G57)/SQRT(COUNT('Per-Trial Conf'!$E57:$G57)),0)</f>
        <v/>
      </c>
      <c r="L160" s="10">
        <f>AVERAGE('Per-Trial Conf'!$H57:$J57)</f>
        <v/>
      </c>
      <c r="M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IRE+1c</t>
        </is>
      </c>
      <c r="D161" s="3" t="inlineStr">
        <is>
          <t>N3, NAS</t>
        </is>
      </c>
      <c r="E161" s="3" t="inlineStr">
        <is>
          <t>IRE+3</t>
        </is>
      </c>
      <c r="F161" s="10">
        <f>'Per-Trial Conf'!$D58</f>
        <v/>
      </c>
      <c r="G161" s="10">
        <f>IF(J161&gt;0,-$B$3*LN(J161),"")</f>
        <v/>
      </c>
      <c r="H161" s="10">
        <f>IF(G161="","",EXP(-G161/$B$3))</f>
        <v/>
      </c>
      <c r="I161" s="10">
        <f>IF(H161="","",H161/SUM(H$159:H$163))</f>
        <v/>
      </c>
      <c r="J161" s="10">
        <f>AVERAGE('Per-Trial Conf'!$E58:$G58)</f>
        <v/>
      </c>
      <c r="K161" s="10">
        <f>IF(COUNT('Per-Trial Conf'!$E58:$G58)&gt;1,STDEV('Per-Trial Conf'!$E58:$G58)/SQRT(COUNT('Per-Trial Conf'!$E58:$G58)),0)</f>
        <v/>
      </c>
      <c r="L161" s="10">
        <f>AVERAGE('Per-Trial Conf'!$H58:$J58)</f>
        <v/>
      </c>
      <c r="M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IRE+2</t>
        </is>
      </c>
      <c r="D162" s="3" t="inlineStr">
        <is>
          <t>N3, NAS, NBE</t>
        </is>
      </c>
      <c r="E162" s="3" t="inlineStr">
        <is>
          <t>IRE+a</t>
        </is>
      </c>
      <c r="F162" s="10">
        <f>'Per-Trial Conf'!$D59</f>
        <v/>
      </c>
      <c r="G162" s="10">
        <f>IF(J162&gt;0,-$B$3*LN(J162),"")</f>
        <v/>
      </c>
      <c r="H162" s="10">
        <f>IF(G162="","",EXP(-G162/$B$3))</f>
        <v/>
      </c>
      <c r="I162" s="10">
        <f>IF(H162="","",H162/SUM(H$159:H$163))</f>
        <v/>
      </c>
      <c r="J162" s="10">
        <f>AVERAGE('Per-Trial Conf'!$E59:$G59)</f>
        <v/>
      </c>
      <c r="K162" s="10">
        <f>IF(COUNT('Per-Trial Conf'!$E59:$G59)&gt;1,STDEV('Per-Trial Conf'!$E59:$G59)/SQRT(COUNT('Per-Trial Conf'!$E59:$G59)),0)</f>
        <v/>
      </c>
      <c r="L162" s="10">
        <f>AVERAGE('Per-Trial Conf'!$H59:$J59)</f>
        <v/>
      </c>
      <c r="M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 0</t>
        </is>
      </c>
      <c r="D163" s="3" t="inlineStr">
        <is>
          <t>NAS</t>
        </is>
      </c>
      <c r="E163" s="3" t="inlineStr">
        <is>
          <t>IRE01</t>
        </is>
      </c>
      <c r="F163" s="10">
        <f>'Per-Trial Conf'!$D60</f>
        <v/>
      </c>
      <c r="G163" s="10">
        <f>IF(J163&gt;0,-$B$3*LN(J163),"")</f>
        <v/>
      </c>
      <c r="H163" s="10">
        <f>IF(G163="","",EXP(-G163/$B$3))</f>
        <v/>
      </c>
      <c r="I163" s="10">
        <f>IF(H163="","",H163/SUM(H$159:H$163))</f>
        <v/>
      </c>
      <c r="J163" s="10">
        <f>AVERAGE('Per-Trial Conf'!$E60:$G60)</f>
        <v/>
      </c>
      <c r="K163" s="10">
        <f>IF(COUNT('Per-Trial Conf'!$E60:$G60)&gt;1,STDEV('Per-Trial Conf'!$E60:$G60)/SQRT(COUNT('Per-Trial Conf'!$E60:$G60)),0)</f>
        <v/>
      </c>
      <c r="L163" s="10">
        <f>AVERAGE('Per-Trial Conf'!$H60:$J60)</f>
        <v/>
      </c>
      <c r="M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n"/>
      <c r="D164" s="6" t="n"/>
      <c r="E164" s="6" t="inlineStr">
        <is>
          <t>SUM</t>
        </is>
      </c>
      <c r="F164" s="12" t="n"/>
      <c r="G164" s="12" t="n"/>
      <c r="H164" s="12">
        <f>SUM(H159:H163)</f>
        <v/>
      </c>
      <c r="I164" s="12">
        <f>SUM(I159:I163)</f>
        <v/>
      </c>
      <c r="J164" s="12">
        <f>SUM(J159:J163)</f>
        <v/>
      </c>
      <c r="K164" s="12" t="n"/>
      <c r="L164" s="12">
        <f>SUM(L159:L163)</f>
        <v/>
      </c>
      <c r="M164" s="12" t="n"/>
    </row>
    <row r="165">
      <c r="A165" s="6" t="n"/>
      <c r="B165" s="6" t="n"/>
      <c r="C165" s="6" t="n"/>
      <c r="D165" s="6" t="n"/>
      <c r="E165" s="6" t="inlineStr">
        <is>
          <t>ensemble charge</t>
        </is>
      </c>
      <c r="F165" s="12" t="n"/>
      <c r="G165" s="12" t="n"/>
      <c r="H165" s="12" t="n"/>
      <c r="I165" s="12">
        <f>SUMPRODUCT($F159:$F163,I159:I163)</f>
        <v/>
      </c>
      <c r="J165" s="12">
        <f>SUMPRODUCT($F159:$F163,J159:J163)</f>
        <v/>
      </c>
      <c r="K165" s="12" t="n"/>
      <c r="L165" s="12">
        <f>SUMPRODUCT($F159:$F163,L159:L163)</f>
        <v/>
      </c>
      <c r="M165" s="12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IRE+1a</t>
        </is>
      </c>
      <c r="D167" s="3" t="inlineStr">
        <is>
          <t>NAS, NBE</t>
        </is>
      </c>
      <c r="E167" s="3" t="inlineStr">
        <is>
          <t>IRE+1</t>
        </is>
      </c>
      <c r="F167" s="10">
        <f>'Per-Trial Conf'!$D102</f>
        <v/>
      </c>
      <c r="G167" s="10">
        <f>IF(J167&gt;0,-$B$3*LN(J167),"")</f>
        <v/>
      </c>
      <c r="H167" s="10">
        <f>IF(G167="","",EXP(-G167/$B$3))</f>
        <v/>
      </c>
      <c r="I167" s="10">
        <f>IF(H167="","",H167/SUM(H$167:H$171))</f>
        <v/>
      </c>
      <c r="J167" s="10">
        <f>AVERAGE('Per-Trial Conf'!$E102:$G102)</f>
        <v/>
      </c>
      <c r="K167" s="10">
        <f>IF(COUNT('Per-Trial Conf'!$E102:$G102)&gt;1,STDEV('Per-Trial Conf'!$E102:$G102)/SQRT(COUNT('Per-Trial Conf'!$E102:$G102)),0)</f>
        <v/>
      </c>
      <c r="L167" s="10">
        <f>AVERAGE('Per-Trial Conf'!$H102:$J102)</f>
        <v/>
      </c>
      <c r="M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IRE+1b</t>
        </is>
      </c>
      <c r="D168" s="3" t="inlineStr">
        <is>
          <t>N3, NAS</t>
        </is>
      </c>
      <c r="E168" s="3" t="inlineStr">
        <is>
          <t>IRE+2</t>
        </is>
      </c>
      <c r="F168" s="10">
        <f>'Per-Trial Conf'!$D103</f>
        <v/>
      </c>
      <c r="G168" s="10">
        <f>IF(J168&gt;0,-$B$3*LN(J168),"")</f>
        <v/>
      </c>
      <c r="H168" s="10">
        <f>IF(G168="","",EXP(-G168/$B$3))</f>
        <v/>
      </c>
      <c r="I168" s="10">
        <f>IF(H168="","",H168/SUM(H$167:H$171))</f>
        <v/>
      </c>
      <c r="J168" s="10">
        <f>AVERAGE('Per-Trial Conf'!$E103:$G103)</f>
        <v/>
      </c>
      <c r="K168" s="10">
        <f>IF(COUNT('Per-Trial Conf'!$E103:$G103)&gt;1,STDEV('Per-Trial Conf'!$E103:$G103)/SQRT(COUNT('Per-Trial Conf'!$E103:$G103)),0)</f>
        <v/>
      </c>
      <c r="L168" s="10">
        <f>AVERAGE('Per-Trial Conf'!$H103:$J103)</f>
        <v/>
      </c>
      <c r="M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IRE+1c</t>
        </is>
      </c>
      <c r="D169" s="3" t="inlineStr">
        <is>
          <t>N3, NAS</t>
        </is>
      </c>
      <c r="E169" s="3" t="inlineStr">
        <is>
          <t>IRE+3</t>
        </is>
      </c>
      <c r="F169" s="10">
        <f>'Per-Trial Conf'!$D104</f>
        <v/>
      </c>
      <c r="G169" s="10">
        <f>IF(J169&gt;0,-$B$3*LN(J169),"")</f>
        <v/>
      </c>
      <c r="H169" s="10">
        <f>IF(G169="","",EXP(-G169/$B$3))</f>
        <v/>
      </c>
      <c r="I169" s="10">
        <f>IF(H169="","",H169/SUM(H$167:H$171))</f>
        <v/>
      </c>
      <c r="J169" s="10">
        <f>AVERAGE('Per-Trial Conf'!$E104:$G104)</f>
        <v/>
      </c>
      <c r="K169" s="10">
        <f>IF(COUNT('Per-Trial Conf'!$E104:$G104)&gt;1,STDEV('Per-Trial Conf'!$E104:$G104)/SQRT(COUNT('Per-Trial Conf'!$E104:$G104)),0)</f>
        <v/>
      </c>
      <c r="L169" s="10">
        <f>AVERAGE('Per-Trial Conf'!$H104:$J104)</f>
        <v/>
      </c>
      <c r="M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IRE+2</t>
        </is>
      </c>
      <c r="D170" s="3" t="inlineStr">
        <is>
          <t>N3, NAS, NBE</t>
        </is>
      </c>
      <c r="E170" s="3" t="inlineStr">
        <is>
          <t>IRE+a</t>
        </is>
      </c>
      <c r="F170" s="10">
        <f>'Per-Trial Conf'!$D105</f>
        <v/>
      </c>
      <c r="G170" s="10">
        <f>IF(J170&gt;0,-$B$3*LN(J170),"")</f>
        <v/>
      </c>
      <c r="H170" s="10">
        <f>IF(G170="","",EXP(-G170/$B$3))</f>
        <v/>
      </c>
      <c r="I170" s="10">
        <f>IF(H170="","",H170/SUM(H$167:H$171))</f>
        <v/>
      </c>
      <c r="J170" s="10">
        <f>AVERAGE('Per-Trial Conf'!$E105:$G105)</f>
        <v/>
      </c>
      <c r="K170" s="10">
        <f>IF(COUNT('Per-Trial Conf'!$E105:$G105)&gt;1,STDEV('Per-Trial Conf'!$E105:$G105)/SQRT(COUNT('Per-Trial Conf'!$E105:$G105)),0)</f>
        <v/>
      </c>
      <c r="L170" s="10">
        <f>AVERAGE('Per-Trial Conf'!$H105:$J105)</f>
        <v/>
      </c>
      <c r="M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 0</t>
        </is>
      </c>
      <c r="D171" s="3" t="inlineStr">
        <is>
          <t>NAS</t>
        </is>
      </c>
      <c r="E171" s="3" t="inlineStr">
        <is>
          <t>IRE01</t>
        </is>
      </c>
      <c r="F171" s="10">
        <f>'Per-Trial Conf'!$D106</f>
        <v/>
      </c>
      <c r="G171" s="10">
        <f>IF(J171&gt;0,-$B$3*LN(J171),"")</f>
        <v/>
      </c>
      <c r="H171" s="10">
        <f>IF(G171="","",EXP(-G171/$B$3))</f>
        <v/>
      </c>
      <c r="I171" s="10">
        <f>IF(H171="","",H171/SUM(H$167:H$171))</f>
        <v/>
      </c>
      <c r="J171" s="10">
        <f>AVERAGE('Per-Trial Conf'!$E106:$G106)</f>
        <v/>
      </c>
      <c r="K171" s="10">
        <f>IF(COUNT('Per-Trial Conf'!$E106:$G106)&gt;1,STDEV('Per-Trial Conf'!$E106:$G106)/SQRT(COUNT('Per-Trial Conf'!$E106:$G106)),0)</f>
        <v/>
      </c>
      <c r="L171" s="10">
        <f>AVERAGE('Per-Trial Conf'!$H106:$J106)</f>
        <v/>
      </c>
      <c r="M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n"/>
      <c r="D172" s="6" t="n"/>
      <c r="E172" s="6" t="inlineStr">
        <is>
          <t>SUM</t>
        </is>
      </c>
      <c r="F172" s="12" t="n"/>
      <c r="G172" s="12" t="n"/>
      <c r="H172" s="12">
        <f>SUM(H167:H171)</f>
        <v/>
      </c>
      <c r="I172" s="12">
        <f>SUM(I167:I171)</f>
        <v/>
      </c>
      <c r="J172" s="12">
        <f>SUM(J167:J171)</f>
        <v/>
      </c>
      <c r="K172" s="12" t="n"/>
      <c r="L172" s="12">
        <f>SUM(L167:L171)</f>
        <v/>
      </c>
      <c r="M172" s="12" t="n"/>
    </row>
    <row r="173">
      <c r="A173" s="6" t="n"/>
      <c r="B173" s="6" t="n"/>
      <c r="C173" s="6" t="n"/>
      <c r="D173" s="6" t="n"/>
      <c r="E173" s="6" t="inlineStr">
        <is>
          <t>ensemble charge</t>
        </is>
      </c>
      <c r="F173" s="12" t="n"/>
      <c r="G173" s="12" t="n"/>
      <c r="H173" s="12" t="n"/>
      <c r="I173" s="12">
        <f>SUMPRODUCT($F167:$F171,I167:I171)</f>
        <v/>
      </c>
      <c r="J173" s="12">
        <f>SUMPRODUCT($F167:$F171,J167:J171)</f>
        <v/>
      </c>
      <c r="K173" s="12" t="n"/>
      <c r="L173" s="12">
        <f>SUMPRODUCT($F167:$F171,L167:L171)</f>
        <v/>
      </c>
      <c r="M173" s="12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IRE+1a</t>
        </is>
      </c>
      <c r="D175" s="3" t="inlineStr">
        <is>
          <t>NAS, NBE</t>
        </is>
      </c>
      <c r="E175" s="3" t="inlineStr">
        <is>
          <t>IRE+1</t>
        </is>
      </c>
      <c r="F175" s="10">
        <f>'Per-Trial Conf'!$D113</f>
        <v/>
      </c>
      <c r="G175" s="10">
        <f>IF(J175&gt;0,-$B$3*LN(J175),"")</f>
        <v/>
      </c>
      <c r="H175" s="10">
        <f>IF(G175="","",EXP(-G175/$B$3))</f>
        <v/>
      </c>
      <c r="I175" s="10">
        <f>IF(H175="","",H175/SUM(H$175:H$179))</f>
        <v/>
      </c>
      <c r="J175" s="10">
        <f>AVERAGE('Per-Trial Conf'!$E113:$G113)</f>
        <v/>
      </c>
      <c r="K175" s="10">
        <f>IF(COUNT('Per-Trial Conf'!$E113:$G113)&gt;1,STDEV('Per-Trial Conf'!$E113:$G113)/SQRT(COUNT('Per-Trial Conf'!$E113:$G113)),0)</f>
        <v/>
      </c>
      <c r="L175" s="10">
        <f>AVERAGE('Per-Trial Conf'!$H113:$J113)</f>
        <v/>
      </c>
      <c r="M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IRE+1b</t>
        </is>
      </c>
      <c r="D176" s="3" t="inlineStr">
        <is>
          <t>N3, NAS</t>
        </is>
      </c>
      <c r="E176" s="3" t="inlineStr">
        <is>
          <t>IRE+2</t>
        </is>
      </c>
      <c r="F176" s="10">
        <f>'Per-Trial Conf'!$D114</f>
        <v/>
      </c>
      <c r="G176" s="10">
        <f>IF(J176&gt;0,-$B$3*LN(J176),"")</f>
        <v/>
      </c>
      <c r="H176" s="10">
        <f>IF(G176="","",EXP(-G176/$B$3))</f>
        <v/>
      </c>
      <c r="I176" s="10">
        <f>IF(H176="","",H176/SUM(H$175:H$179))</f>
        <v/>
      </c>
      <c r="J176" s="10">
        <f>AVERAGE('Per-Trial Conf'!$E114:$G114)</f>
        <v/>
      </c>
      <c r="K176" s="10">
        <f>IF(COUNT('Per-Trial Conf'!$E114:$G114)&gt;1,STDEV('Per-Trial Conf'!$E114:$G114)/SQRT(COUNT('Per-Trial Conf'!$E114:$G114)),0)</f>
        <v/>
      </c>
      <c r="L176" s="10">
        <f>AVERAGE('Per-Trial Conf'!$H114:$J114)</f>
        <v/>
      </c>
      <c r="M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IRE+1c</t>
        </is>
      </c>
      <c r="D177" s="3" t="inlineStr">
        <is>
          <t>N3, NAS</t>
        </is>
      </c>
      <c r="E177" s="3" t="inlineStr">
        <is>
          <t>IRE+3</t>
        </is>
      </c>
      <c r="F177" s="10">
        <f>'Per-Trial Conf'!$D115</f>
        <v/>
      </c>
      <c r="G177" s="10">
        <f>IF(J177&gt;0,-$B$3*LN(J177),"")</f>
        <v/>
      </c>
      <c r="H177" s="10">
        <f>IF(G177="","",EXP(-G177/$B$3))</f>
        <v/>
      </c>
      <c r="I177" s="10">
        <f>IF(H177="","",H177/SUM(H$175:H$179))</f>
        <v/>
      </c>
      <c r="J177" s="10">
        <f>AVERAGE('Per-Trial Conf'!$E115:$G115)</f>
        <v/>
      </c>
      <c r="K177" s="10">
        <f>IF(COUNT('Per-Trial Conf'!$E115:$G115)&gt;1,STDEV('Per-Trial Conf'!$E115:$G115)/SQRT(COUNT('Per-Trial Conf'!$E115:$G115)),0)</f>
        <v/>
      </c>
      <c r="L177" s="10">
        <f>AVERAGE('Per-Trial Conf'!$H115:$J115)</f>
        <v/>
      </c>
      <c r="M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IRE+2</t>
        </is>
      </c>
      <c r="D178" s="3" t="inlineStr">
        <is>
          <t>N3, NAS, NBE</t>
        </is>
      </c>
      <c r="E178" s="3" t="inlineStr">
        <is>
          <t>IRE+a</t>
        </is>
      </c>
      <c r="F178" s="10">
        <f>'Per-Trial Conf'!$D116</f>
        <v/>
      </c>
      <c r="G178" s="10">
        <f>IF(J178&gt;0,-$B$3*LN(J178),"")</f>
        <v/>
      </c>
      <c r="H178" s="10">
        <f>IF(G178="","",EXP(-G178/$B$3))</f>
        <v/>
      </c>
      <c r="I178" s="10">
        <f>IF(H178="","",H178/SUM(H$175:H$179))</f>
        <v/>
      </c>
      <c r="J178" s="10">
        <f>AVERAGE('Per-Trial Conf'!$E116:$G116)</f>
        <v/>
      </c>
      <c r="K178" s="10">
        <f>IF(COUNT('Per-Trial Conf'!$E116:$G116)&gt;1,STDEV('Per-Trial Conf'!$E116:$G116)/SQRT(COUNT('Per-Trial Conf'!$E116:$G116)),0)</f>
        <v/>
      </c>
      <c r="L178" s="10">
        <f>AVERAGE('Per-Trial Conf'!$H116:$J116)</f>
        <v/>
      </c>
      <c r="M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 0</t>
        </is>
      </c>
      <c r="D179" s="3" t="inlineStr">
        <is>
          <t>NAS</t>
        </is>
      </c>
      <c r="E179" s="3" t="inlineStr">
        <is>
          <t>IRE01</t>
        </is>
      </c>
      <c r="F179" s="10">
        <f>'Per-Trial Conf'!$D117</f>
        <v/>
      </c>
      <c r="G179" s="10">
        <f>IF(J179&gt;0,-$B$3*LN(J179),"")</f>
        <v/>
      </c>
      <c r="H179" s="10">
        <f>IF(G179="","",EXP(-G179/$B$3))</f>
        <v/>
      </c>
      <c r="I179" s="10">
        <f>IF(H179="","",H179/SUM(H$175:H$179))</f>
        <v/>
      </c>
      <c r="J179" s="10">
        <f>AVERAGE('Per-Trial Conf'!$E117:$G117)</f>
        <v/>
      </c>
      <c r="K179" s="10">
        <f>IF(COUNT('Per-Trial Conf'!$E117:$G117)&gt;1,STDEV('Per-Trial Conf'!$E117:$G117)/SQRT(COUNT('Per-Trial Conf'!$E117:$G117)),0)</f>
        <v/>
      </c>
      <c r="L179" s="10">
        <f>AVERAGE('Per-Trial Conf'!$H117:$J117)</f>
        <v/>
      </c>
      <c r="M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n"/>
      <c r="D180" s="6" t="n"/>
      <c r="E180" s="6" t="inlineStr">
        <is>
          <t>SUM</t>
        </is>
      </c>
      <c r="F180" s="12" t="n"/>
      <c r="G180" s="12" t="n"/>
      <c r="H180" s="12">
        <f>SUM(H175:H179)</f>
        <v/>
      </c>
      <c r="I180" s="12">
        <f>SUM(I175:I179)</f>
        <v/>
      </c>
      <c r="J180" s="12">
        <f>SUM(J175:J179)</f>
        <v/>
      </c>
      <c r="K180" s="12" t="n"/>
      <c r="L180" s="12">
        <f>SUM(L175:L179)</f>
        <v/>
      </c>
      <c r="M180" s="12" t="n"/>
    </row>
    <row r="181">
      <c r="A181" s="6" t="n"/>
      <c r="B181" s="6" t="n"/>
      <c r="C181" s="6" t="n"/>
      <c r="D181" s="6" t="n"/>
      <c r="E181" s="6" t="inlineStr">
        <is>
          <t>ensemble charge</t>
        </is>
      </c>
      <c r="F181" s="12" t="n"/>
      <c r="G181" s="12" t="n"/>
      <c r="H181" s="12" t="n"/>
      <c r="I181" s="12">
        <f>SUMPRODUCT($F175:$F179,I175:I179)</f>
        <v/>
      </c>
      <c r="J181" s="12">
        <f>SUMPRODUCT($F175:$F179,J175:J179)</f>
        <v/>
      </c>
      <c r="K181" s="12" t="n"/>
      <c r="L181" s="12">
        <f>SUMPRODUCT($F175:$F179,L175:L179)</f>
        <v/>
      </c>
      <c r="M181" s="12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3" t="inlineStr">
        <is>
          <t>N22, N7</t>
        </is>
      </c>
      <c r="E183" s="3" t="inlineStr">
        <is>
          <t>FMM+1</t>
        </is>
      </c>
      <c r="F183" s="10">
        <f>'Per-Trial Conf'!$D3</f>
        <v/>
      </c>
      <c r="G183" s="10">
        <f>IF(J183&gt;0,-$B$3*LN(J183),"")</f>
        <v/>
      </c>
      <c r="H183" s="10">
        <f>IF(G183="","",EXP(-G183/$B$3))</f>
        <v/>
      </c>
      <c r="I183" s="10">
        <f>IF(H183="","",H183/SUM(H$183:H$185))</f>
        <v/>
      </c>
      <c r="J183" s="10">
        <f>AVERAGE('Per-Trial Conf'!$E3:$G3)</f>
        <v/>
      </c>
      <c r="K183" s="10">
        <f>IF(COUNT('Per-Trial Conf'!$E3:$G3)&gt;1,STDEV('Per-Trial Conf'!$E3:$G3)/SQRT(COUNT('Per-Trial Conf'!$E3:$G3)),0)</f>
        <v/>
      </c>
      <c r="L183" s="10">
        <f>AVERAGE('Per-Trial Conf'!$H3:$J3)</f>
        <v/>
      </c>
      <c r="M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FMM+2</t>
        </is>
      </c>
      <c r="D184" s="3" t="inlineStr">
        <is>
          <t>N18, N22, N7</t>
        </is>
      </c>
      <c r="E184" s="3" t="inlineStr">
        <is>
          <t>FMM+a</t>
        </is>
      </c>
      <c r="F184" s="10">
        <f>'Per-Trial Conf'!$D4</f>
        <v/>
      </c>
      <c r="G184" s="10">
        <f>IF(J184&gt;0,-$B$3*LN(J184),"")</f>
        <v/>
      </c>
      <c r="H184" s="10">
        <f>IF(G184="","",EXP(-G184/$B$3))</f>
        <v/>
      </c>
      <c r="I184" s="10">
        <f>IF(H184="","",H184/SUM(H$183:H$185))</f>
        <v/>
      </c>
      <c r="J184" s="10">
        <f>AVERAGE('Per-Trial Conf'!$E4:$G4)</f>
        <v/>
      </c>
      <c r="K184" s="10">
        <f>IF(COUNT('Per-Trial Conf'!$E4:$G4)&gt;1,STDEV('Per-Trial Conf'!$E4:$G4)/SQRT(COUNT('Per-Trial Conf'!$E4:$G4)),0)</f>
        <v/>
      </c>
      <c r="L184" s="10">
        <f>AVERAGE('Per-Trial Conf'!$H4:$J4)</f>
        <v/>
      </c>
      <c r="M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 0</t>
        </is>
      </c>
      <c r="D185" s="3" t="inlineStr">
        <is>
          <t>N22, N7</t>
        </is>
      </c>
      <c r="E185" s="3" t="inlineStr">
        <is>
          <t>FMM01</t>
        </is>
      </c>
      <c r="F185" s="10">
        <f>'Per-Trial Conf'!$D5</f>
        <v/>
      </c>
      <c r="G185" s="10">
        <f>IF(J185&gt;0,-$B$3*LN(J185),"")</f>
        <v/>
      </c>
      <c r="H185" s="10">
        <f>IF(G185="","",EXP(-G185/$B$3))</f>
        <v/>
      </c>
      <c r="I185" s="10">
        <f>IF(H185="","",H185/SUM(H$183:H$185))</f>
        <v/>
      </c>
      <c r="J185" s="10">
        <f>AVERAGE('Per-Trial Conf'!$E5:$G5)</f>
        <v/>
      </c>
      <c r="K185" s="10">
        <f>IF(COUNT('Per-Trial Conf'!$E5:$G5)&gt;1,STDEV('Per-Trial Conf'!$E5:$G5)/SQRT(COUNT('Per-Trial Conf'!$E5:$G5)),0)</f>
        <v/>
      </c>
      <c r="L185" s="10">
        <f>AVERAGE('Per-Trial Conf'!$H5:$J5)</f>
        <v/>
      </c>
      <c r="M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SUM(H183:H185)</f>
        <v/>
      </c>
      <c r="I186" s="12">
        <f>SUM(I183:I185)</f>
        <v/>
      </c>
      <c r="J186" s="12">
        <f>SUM(J183:J185)</f>
        <v/>
      </c>
      <c r="K186" s="12" t="n"/>
      <c r="L186" s="12">
        <f>SUM(L183:L185)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SUMPRODUCT($F183:$F185,I183:I185)</f>
        <v/>
      </c>
      <c r="J187" s="12">
        <f>SUMPRODUCT($F183:$F185,J183:J185)</f>
        <v/>
      </c>
      <c r="K187" s="12" t="n"/>
      <c r="L187" s="12">
        <f>SUMPRODUCT($F183:$F185,L183:L185)</f>
        <v/>
      </c>
      <c r="M187" s="12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YY3+1a</t>
        </is>
      </c>
      <c r="D189" s="3" t="inlineStr">
        <is>
          <t>N, N2, N3</t>
        </is>
      </c>
      <c r="E189" s="3" t="inlineStr">
        <is>
          <t>YY3+1</t>
        </is>
      </c>
      <c r="F189" s="10">
        <f>'Per-Trial Conf'!$D118</f>
        <v/>
      </c>
      <c r="G189" s="10">
        <f>IF(J189&gt;0,-$B$3*LN(J189),"")</f>
        <v/>
      </c>
      <c r="H189" s="10">
        <f>IF(G189="","",EXP(-G189/$B$3))</f>
        <v/>
      </c>
      <c r="I189" s="10">
        <f>IF(H189="","",H189/SUM(H$189:H$195))</f>
        <v/>
      </c>
      <c r="J189" s="10">
        <f>AVERAGE('Per-Trial Conf'!$E118:$G118)</f>
        <v/>
      </c>
      <c r="K189" s="10">
        <f>IF(COUNT('Per-Trial Conf'!$E118:$G118)&gt;1,STDEV('Per-Trial Conf'!$E118:$G118)/SQRT(COUNT('Per-Trial Conf'!$E118:$G118)),0)</f>
        <v/>
      </c>
      <c r="L189" s="10">
        <f>AVERAGE('Per-Trial Conf'!$H118:$J118)</f>
        <v/>
      </c>
      <c r="M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YY3+1b</t>
        </is>
      </c>
      <c r="D190" s="3" t="inlineStr">
        <is>
          <t>N, N1, N3</t>
        </is>
      </c>
      <c r="E190" s="3" t="inlineStr">
        <is>
          <t>YY3+2</t>
        </is>
      </c>
      <c r="F190" s="10">
        <f>'Per-Trial Conf'!$D119</f>
        <v/>
      </c>
      <c r="G190" s="10">
        <f>IF(J190&gt;0,-$B$3*LN(J190),"")</f>
        <v/>
      </c>
      <c r="H190" s="10">
        <f>IF(G190="","",EXP(-G190/$B$3))</f>
        <v/>
      </c>
      <c r="I190" s="10">
        <f>IF(H190="","",H190/SUM(H$189:H$195))</f>
        <v/>
      </c>
      <c r="J190" s="10">
        <f>AVERAGE('Per-Trial Conf'!$E119:$G119)</f>
        <v/>
      </c>
      <c r="K190" s="10">
        <f>IF(COUNT('Per-Trial Conf'!$E119:$G119)&gt;1,STDEV('Per-Trial Conf'!$E119:$G119)/SQRT(COUNT('Per-Trial Conf'!$E119:$G119)),0)</f>
        <v/>
      </c>
      <c r="L190" s="10">
        <f>AVERAGE('Per-Trial Conf'!$H119:$J119)</f>
        <v/>
      </c>
      <c r="M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YY3+1c</t>
        </is>
      </c>
      <c r="D191" s="3" t="inlineStr">
        <is>
          <t>N2, N3, O</t>
        </is>
      </c>
      <c r="E191" s="3" t="inlineStr">
        <is>
          <t>YY3+3</t>
        </is>
      </c>
      <c r="F191" s="10">
        <f>'Per-Trial Conf'!$D120</f>
        <v/>
      </c>
      <c r="G191" s="10">
        <f>IF(J191&gt;0,-$B$3*LN(J191),"")</f>
        <v/>
      </c>
      <c r="H191" s="10">
        <f>IF(G191="","",EXP(-G191/$B$3))</f>
        <v/>
      </c>
      <c r="I191" s="10">
        <f>IF(H191="","",H191/SUM(H$189:H$195))</f>
        <v/>
      </c>
      <c r="J191" s="10">
        <f>AVERAGE('Per-Trial Conf'!$E120:$G120)</f>
        <v/>
      </c>
      <c r="K191" s="10">
        <f>IF(COUNT('Per-Trial Conf'!$E120:$G120)&gt;1,STDEV('Per-Trial Conf'!$E120:$G120)/SQRT(COUNT('Per-Trial Conf'!$E120:$G120)),0)</f>
        <v/>
      </c>
      <c r="L191" s="10">
        <f>AVERAGE('Per-Trial Conf'!$H120:$J120)</f>
        <v/>
      </c>
      <c r="M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YY3+1d</t>
        </is>
      </c>
      <c r="D192" s="3" t="inlineStr">
        <is>
          <t>N1, N3, O</t>
        </is>
      </c>
      <c r="E192" s="3" t="inlineStr">
        <is>
          <t>YY3+4</t>
        </is>
      </c>
      <c r="F192" s="10">
        <f>'Per-Trial Conf'!$D121</f>
        <v/>
      </c>
      <c r="G192" s="10">
        <f>IF(J192&gt;0,-$B$3*LN(J192),"")</f>
        <v/>
      </c>
      <c r="H192" s="10">
        <f>IF(G192="","",EXP(-G192/$B$3))</f>
        <v/>
      </c>
      <c r="I192" s="10">
        <f>IF(H192="","",H192/SUM(H$189:H$195))</f>
        <v/>
      </c>
      <c r="J192" s="10">
        <f>AVERAGE('Per-Trial Conf'!$E121:$G121)</f>
        <v/>
      </c>
      <c r="K192" s="10">
        <f>IF(COUNT('Per-Trial Conf'!$E121:$G121)&gt;1,STDEV('Per-Trial Conf'!$E121:$G121)/SQRT(COUNT('Per-Trial Conf'!$E121:$G121)),0)</f>
        <v/>
      </c>
      <c r="L192" s="10">
        <f>AVERAGE('Per-Trial Conf'!$H121:$J121)</f>
        <v/>
      </c>
      <c r="M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YY3+2a</t>
        </is>
      </c>
      <c r="D193" s="3" t="inlineStr">
        <is>
          <t>N, N2, N3, O</t>
        </is>
      </c>
      <c r="E193" s="3" t="inlineStr">
        <is>
          <t>YY3+a</t>
        </is>
      </c>
      <c r="F193" s="10">
        <f>'Per-Trial Conf'!$D122</f>
        <v/>
      </c>
      <c r="G193" s="10">
        <f>IF(J193&gt;0,-$B$3*LN(J193),"")</f>
        <v/>
      </c>
      <c r="H193" s="10">
        <f>IF(G193="","",EXP(-G193/$B$3))</f>
        <v/>
      </c>
      <c r="I193" s="10">
        <f>IF(H193="","",H193/SUM(H$189:H$195))</f>
        <v/>
      </c>
      <c r="J193" s="10">
        <f>AVERAGE('Per-Trial Conf'!$E122:$G122)</f>
        <v/>
      </c>
      <c r="K193" s="10">
        <f>IF(COUNT('Per-Trial Conf'!$E122:$G122)&gt;1,STDEV('Per-Trial Conf'!$E122:$G122)/SQRT(COUNT('Per-Trial Conf'!$E122:$G122)),0)</f>
        <v/>
      </c>
      <c r="L193" s="10">
        <f>AVERAGE('Per-Trial Conf'!$H122:$J122)</f>
        <v/>
      </c>
      <c r="M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YY3+2b</t>
        </is>
      </c>
      <c r="D194" s="3" t="inlineStr">
        <is>
          <t>N, N1, N2, N3</t>
        </is>
      </c>
      <c r="E194" s="3" t="inlineStr">
        <is>
          <t>YY3+b</t>
        </is>
      </c>
      <c r="F194" s="10">
        <f>'Per-Trial Conf'!$D123</f>
        <v/>
      </c>
      <c r="G194" s="10">
        <f>IF(J194&gt;0,-$B$3*LN(J194),"")</f>
        <v/>
      </c>
      <c r="H194" s="10">
        <f>IF(G194="","",EXP(-G194/$B$3))</f>
        <v/>
      </c>
      <c r="I194" s="10">
        <f>IF(H194="","",H194/SUM(H$189:H$195))</f>
        <v/>
      </c>
      <c r="J194" s="10">
        <f>AVERAGE('Per-Trial Conf'!$E123:$G123)</f>
        <v/>
      </c>
      <c r="K194" s="10">
        <f>IF(COUNT('Per-Trial Conf'!$E123:$G123)&gt;1,STDEV('Per-Trial Conf'!$E123:$G123)/SQRT(COUNT('Per-Trial Conf'!$E123:$G123)),0)</f>
        <v/>
      </c>
      <c r="L194" s="10">
        <f>AVERAGE('Per-Trial Conf'!$H123:$J123)</f>
        <v/>
      </c>
      <c r="M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 0</t>
        </is>
      </c>
      <c r="D195" s="3" t="inlineStr">
        <is>
          <t>N, N3</t>
        </is>
      </c>
      <c r="E195" s="3" t="inlineStr">
        <is>
          <t>YY301</t>
        </is>
      </c>
      <c r="F195" s="10">
        <f>'Per-Trial Conf'!$D124</f>
        <v/>
      </c>
      <c r="G195" s="10">
        <f>IF(J195&gt;0,-$B$3*LN(J195),"")</f>
        <v/>
      </c>
      <c r="H195" s="10">
        <f>IF(G195="","",EXP(-G195/$B$3))</f>
        <v/>
      </c>
      <c r="I195" s="10">
        <f>IF(H195="","",H195/SUM(H$189:H$195))</f>
        <v/>
      </c>
      <c r="J195" s="10">
        <f>AVERAGE('Per-Trial Conf'!$E124:$G124)</f>
        <v/>
      </c>
      <c r="K195" s="10">
        <f>IF(COUNT('Per-Trial Conf'!$E124:$G124)&gt;1,STDEV('Per-Trial Conf'!$E124:$G124)/SQRT(COUNT('Per-Trial Conf'!$E124:$G124)),0)</f>
        <v/>
      </c>
      <c r="L195" s="10">
        <f>AVERAGE('Per-Trial Conf'!$H124:$J124)</f>
        <v/>
      </c>
      <c r="M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n"/>
      <c r="D196" s="6" t="n"/>
      <c r="E196" s="6" t="inlineStr">
        <is>
          <t>SUM</t>
        </is>
      </c>
      <c r="F196" s="12" t="n"/>
      <c r="G196" s="12" t="n"/>
      <c r="H196" s="12">
        <f>SUM(H189:H195)</f>
        <v/>
      </c>
      <c r="I196" s="12">
        <f>SUM(I189:I195)</f>
        <v/>
      </c>
      <c r="J196" s="12">
        <f>SUM(J189:J195)</f>
        <v/>
      </c>
      <c r="K196" s="12" t="n"/>
      <c r="L196" s="12">
        <f>SUM(L189:L195)</f>
        <v/>
      </c>
      <c r="M196" s="12" t="n"/>
    </row>
    <row r="197">
      <c r="A197" s="6" t="n"/>
      <c r="B197" s="6" t="n"/>
      <c r="C197" s="6" t="n"/>
      <c r="D197" s="6" t="n"/>
      <c r="E197" s="6" t="inlineStr">
        <is>
          <t>ensemble charge</t>
        </is>
      </c>
      <c r="F197" s="12" t="n"/>
      <c r="G197" s="12" t="n"/>
      <c r="H197" s="12" t="n"/>
      <c r="I197" s="12">
        <f>SUMPRODUCT($F189:$F195,I189:I195)</f>
        <v/>
      </c>
      <c r="J197" s="12">
        <f>SUMPRODUCT($F189:$F195,J189:J195)</f>
        <v/>
      </c>
      <c r="K197" s="12" t="n"/>
      <c r="L197" s="12">
        <f>SUMPRODUCT($F189:$F195,L189:L195)</f>
        <v/>
      </c>
      <c r="M197" s="12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3" t="inlineStr">
        <is>
          <t>N12, N19</t>
        </is>
      </c>
      <c r="E200" s="3" t="inlineStr">
        <is>
          <t>MI1+1</t>
        </is>
      </c>
      <c r="F200" s="10">
        <f>'Per-Trial Conf'!$D45</f>
        <v/>
      </c>
      <c r="G200" s="10">
        <f>IF(J200&gt;0,-$B$3*LN(J200),"")</f>
        <v/>
      </c>
      <c r="H200" s="10">
        <f>IF(G200="","",EXP(-G200/$B$3))</f>
        <v/>
      </c>
      <c r="I200" s="10">
        <f>IF(H200="","",H200/SUM(H$200:H$201))</f>
        <v/>
      </c>
      <c r="J200" s="10">
        <f>AVERAGE('Per-Trial Conf'!$E45:$G45)</f>
        <v/>
      </c>
      <c r="K200" s="10">
        <f>IF(COUNT('Per-Trial Conf'!$E45:$G45)&gt;1,STDEV('Per-Trial Conf'!$E45:$G45)/SQRT(COUNT('Per-Trial Conf'!$E45:$G45)),0)</f>
        <v/>
      </c>
      <c r="L200" s="10">
        <f>AVERAGE('Per-Trial Conf'!$H45:$J45)</f>
        <v/>
      </c>
      <c r="M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 0</t>
        </is>
      </c>
      <c r="D201" s="3" t="inlineStr">
        <is>
          <t>N12</t>
        </is>
      </c>
      <c r="E201" s="3" t="inlineStr">
        <is>
          <t>MI101</t>
        </is>
      </c>
      <c r="F201" s="10">
        <f>'Per-Trial Conf'!$D46</f>
        <v/>
      </c>
      <c r="G201" s="10">
        <f>IF(J201&gt;0,-$B$3*LN(J201),"")</f>
        <v/>
      </c>
      <c r="H201" s="10">
        <f>IF(G201="","",EXP(-G201/$B$3))</f>
        <v/>
      </c>
      <c r="I201" s="10">
        <f>IF(H201="","",H201/SUM(H$200:H$201))</f>
        <v/>
      </c>
      <c r="J201" s="10">
        <f>AVERAGE('Per-Trial Conf'!$E46:$G46)</f>
        <v/>
      </c>
      <c r="K201" s="10">
        <f>IF(COUNT('Per-Trial Conf'!$E46:$G46)&gt;1,STDEV('Per-Trial Conf'!$E46:$G46)/SQRT(COUNT('Per-Trial Conf'!$E46:$G46)),0)</f>
        <v/>
      </c>
      <c r="L201" s="10">
        <f>AVERAGE('Per-Trial Conf'!$H46:$J46)</f>
        <v/>
      </c>
      <c r="M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SUM(H200:H201)</f>
        <v/>
      </c>
      <c r="I202" s="12">
        <f>SUM(I200:I201)</f>
        <v/>
      </c>
      <c r="J202" s="12">
        <f>SUM(J200:J201)</f>
        <v/>
      </c>
      <c r="K202" s="12" t="n"/>
      <c r="L202" s="12">
        <f>SUM(L200:L201)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SUMPRODUCT($F200:$F201,I200:I201)</f>
        <v/>
      </c>
      <c r="J203" s="12">
        <f>SUMPRODUCT($F200:$F201,J200:J201)</f>
        <v/>
      </c>
      <c r="K203" s="12" t="n"/>
      <c r="L203" s="12">
        <f>SUMPRODUCT($F200:$F201,L200:L201)</f>
        <v/>
      </c>
      <c r="M203" s="12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3" t="inlineStr">
        <is>
          <t>N26, N9, O24</t>
        </is>
      </c>
      <c r="E206" s="3" t="inlineStr">
        <is>
          <t>EUI+1</t>
        </is>
      </c>
      <c r="F206" s="10">
        <f>'Per-Trial Conf'!$D81</f>
        <v/>
      </c>
      <c r="G206" s="10">
        <f>IF(J206&gt;0,-$B$3*LN(J206),"")</f>
        <v/>
      </c>
      <c r="H206" s="10">
        <f>IF(G206="","",EXP(-G206/$B$3))</f>
        <v/>
      </c>
      <c r="I206" s="10">
        <f>IF(H206="","",H206/SUM(H$206:H$208))</f>
        <v/>
      </c>
      <c r="J206" s="10">
        <f>AVERAGE('Per-Trial Conf'!$E81:$G81)</f>
        <v/>
      </c>
      <c r="K206" s="10">
        <f>IF(COUNT('Per-Trial Conf'!$E81:$G81)&gt;1,STDEV('Per-Trial Conf'!$E81:$G81)/SQRT(COUNT('Per-Trial Conf'!$E81:$G81)),0)</f>
        <v/>
      </c>
      <c r="L206" s="10">
        <f>AVERAGE('Per-Trial Conf'!$H81:$J81)</f>
        <v/>
      </c>
      <c r="M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 0a</t>
        </is>
      </c>
      <c r="D207" s="3" t="inlineStr">
        <is>
          <t>N26, N9, O24</t>
        </is>
      </c>
      <c r="E207" s="3" t="inlineStr">
        <is>
          <t>EUI01</t>
        </is>
      </c>
      <c r="F207" s="10">
        <f>'Per-Trial Conf'!$D82</f>
        <v/>
      </c>
      <c r="G207" s="10">
        <f>IF(J207&gt;0,-$B$3*LN(J207),"")</f>
        <v/>
      </c>
      <c r="H207" s="10">
        <f>IF(G207="","",EXP(-G207/$B$3))</f>
        <v/>
      </c>
      <c r="I207" s="10">
        <f>IF(H207="","",H207/SUM(H$206:H$208))</f>
        <v/>
      </c>
      <c r="J207" s="10">
        <f>AVERAGE('Per-Trial Conf'!$E82:$G82)</f>
        <v/>
      </c>
      <c r="K207" s="10">
        <f>IF(COUNT('Per-Trial Conf'!$E82:$G82)&gt;1,STDEV('Per-Trial Conf'!$E82:$G82)/SQRT(COUNT('Per-Trial Conf'!$E82:$G82)),0)</f>
        <v/>
      </c>
      <c r="L207" s="10">
        <f>AVERAGE('Per-Trial Conf'!$H82:$J82)</f>
        <v/>
      </c>
      <c r="M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 0b</t>
        </is>
      </c>
      <c r="D208" s="3" t="inlineStr">
        <is>
          <t>N26, N9, O24</t>
        </is>
      </c>
      <c r="E208" s="3" t="inlineStr">
        <is>
          <t>EUI02</t>
        </is>
      </c>
      <c r="F208" s="10">
        <f>'Per-Trial Conf'!$D83</f>
        <v/>
      </c>
      <c r="G208" s="10">
        <f>IF(J208&gt;0,-$B$3*LN(J208),"")</f>
        <v/>
      </c>
      <c r="H208" s="10">
        <f>IF(G208="","",EXP(-G208/$B$3))</f>
        <v/>
      </c>
      <c r="I208" s="10">
        <f>IF(H208="","",H208/SUM(H$206:H$208))</f>
        <v/>
      </c>
      <c r="J208" s="10">
        <f>AVERAGE('Per-Trial Conf'!$E83:$G83)</f>
        <v/>
      </c>
      <c r="K208" s="10">
        <f>IF(COUNT('Per-Trial Conf'!$E83:$G83)&gt;1,STDEV('Per-Trial Conf'!$E83:$G83)/SQRT(COUNT('Per-Trial Conf'!$E83:$G83)),0)</f>
        <v/>
      </c>
      <c r="L208" s="10">
        <f>AVERAGE('Per-Trial Conf'!$H83:$J83)</f>
        <v/>
      </c>
      <c r="M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n"/>
      <c r="D209" s="6" t="n"/>
      <c r="E209" s="6" t="inlineStr">
        <is>
          <t>SUM</t>
        </is>
      </c>
      <c r="F209" s="12" t="n"/>
      <c r="G209" s="12" t="n"/>
      <c r="H209" s="12">
        <f>SUM(H206:H208)</f>
        <v/>
      </c>
      <c r="I209" s="12">
        <f>SUM(I206:I208)</f>
        <v/>
      </c>
      <c r="J209" s="12">
        <f>SUM(J206:J208)</f>
        <v/>
      </c>
      <c r="K209" s="12" t="n"/>
      <c r="L209" s="12">
        <f>SUM(L206:L208)</f>
        <v/>
      </c>
      <c r="M209" s="12" t="n"/>
    </row>
    <row r="210">
      <c r="A210" s="6" t="n"/>
      <c r="B210" s="6" t="n"/>
      <c r="C210" s="6" t="n"/>
      <c r="D210" s="6" t="n"/>
      <c r="E210" s="6" t="inlineStr">
        <is>
          <t>ensemble charge</t>
        </is>
      </c>
      <c r="F210" s="12" t="n"/>
      <c r="G210" s="12" t="n"/>
      <c r="H210" s="12" t="n"/>
      <c r="I210" s="12">
        <f>SUMPRODUCT($F206:$F208,I206:I208)</f>
        <v/>
      </c>
      <c r="J210" s="12">
        <f>SUMPRODUCT($F206:$F208,J206:J208)</f>
        <v/>
      </c>
      <c r="K210" s="12" t="n"/>
      <c r="L210" s="12">
        <f>SUMPRODUCT($F206:$F208,L206:L208)</f>
        <v/>
      </c>
      <c r="M210" s="12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Conf'!$D107</f>
        <v/>
      </c>
      <c r="G212" s="10">
        <f>IF(J212&gt;0,-$B$3*LN(J212),"")</f>
        <v/>
      </c>
      <c r="H212" s="10">
        <f>IF(G212="","",EXP(-G212/$B$3))</f>
        <v/>
      </c>
      <c r="I212" s="10">
        <f>IF(H212="","",H212/SUM(H$212:H$214))</f>
        <v/>
      </c>
      <c r="J212" s="10">
        <f>AVERAGE('Per-Trial Conf'!$E107:$G107)</f>
        <v/>
      </c>
      <c r="K212" s="10">
        <f>IF(COUNT('Per-Trial Conf'!$E107:$G107)&gt;1,STDEV('Per-Trial Conf'!$E107:$G107)/SQRT(COUNT('Per-Trial Conf'!$E107:$G107)),0)</f>
        <v/>
      </c>
      <c r="L212" s="10">
        <f>AVERAGE('Per-Trial Conf'!$H107:$J107)</f>
        <v/>
      </c>
      <c r="M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Conf'!$D108</f>
        <v/>
      </c>
      <c r="G213" s="10">
        <f>IF(J213&gt;0,-$B$3*LN(J213),"")</f>
        <v/>
      </c>
      <c r="H213" s="10">
        <f>IF(G213="","",EXP(-G213/$B$3))</f>
        <v/>
      </c>
      <c r="I213" s="10">
        <f>IF(H213="","",H213/SUM(H$212:H$214))</f>
        <v/>
      </c>
      <c r="J213" s="10">
        <f>AVERAGE('Per-Trial Conf'!$E108:$G108)</f>
        <v/>
      </c>
      <c r="K213" s="10">
        <f>IF(COUNT('Per-Trial Conf'!$E108:$G108)&gt;1,STDEV('Per-Trial Conf'!$E108:$G108)/SQRT(COUNT('Per-Trial Conf'!$E108:$G108)),0)</f>
        <v/>
      </c>
      <c r="L213" s="10">
        <f>AVERAGE('Per-Trial Conf'!$H108:$J108)</f>
        <v/>
      </c>
      <c r="M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Conf'!$D109</f>
        <v/>
      </c>
      <c r="G214" s="10">
        <f>IF(J214&gt;0,-$B$3*LN(J214),"")</f>
        <v/>
      </c>
      <c r="H214" s="10">
        <f>IF(G214="","",EXP(-G214/$B$3))</f>
        <v/>
      </c>
      <c r="I214" s="10">
        <f>IF(H214="","",H214/SUM(H$212:H$214))</f>
        <v/>
      </c>
      <c r="J214" s="10">
        <f>AVERAGE('Per-Trial Conf'!$E109:$G109)</f>
        <v/>
      </c>
      <c r="K214" s="10">
        <f>IF(COUNT('Per-Trial Conf'!$E109:$G109)&gt;1,STDEV('Per-Trial Conf'!$E109:$G109)/SQRT(COUNT('Per-Trial Conf'!$E109:$G109)),0)</f>
        <v/>
      </c>
      <c r="L214" s="10">
        <f>AVERAGE('Per-Trial Conf'!$H109:$J109)</f>
        <v/>
      </c>
      <c r="M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VGH+1a</t>
        </is>
      </c>
      <c r="D219" s="3" t="inlineStr">
        <is>
          <t>N22, N25</t>
        </is>
      </c>
      <c r="E219" s="3" t="inlineStr">
        <is>
          <t>VGH+1</t>
        </is>
      </c>
      <c r="F219" s="10">
        <f>'Per-Trial Conf'!$D28</f>
        <v/>
      </c>
      <c r="G219" s="10">
        <f>IF(J219&gt;0,-$B$3*LN(J219),"")</f>
        <v/>
      </c>
      <c r="H219" s="10">
        <f>IF(G219="","",EXP(-G219/$B$3))</f>
        <v/>
      </c>
      <c r="I219" s="10">
        <f>IF(H219="","",H219/SUM(H$219:H$222))</f>
        <v/>
      </c>
      <c r="J219" s="10">
        <f>AVERAGE('Per-Trial Conf'!$E28:$G28)</f>
        <v/>
      </c>
      <c r="K219" s="10">
        <f>IF(COUNT('Per-Trial Conf'!$E28:$G28)&gt;1,STDEV('Per-Trial Conf'!$E28:$G28)/SQRT(COUNT('Per-Trial Conf'!$E28:$G28)),0)</f>
        <v/>
      </c>
      <c r="L219" s="10">
        <f>AVERAGE('Per-Trial Conf'!$H28:$J28)</f>
        <v/>
      </c>
      <c r="M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VGH+1b</t>
        </is>
      </c>
      <c r="D220" s="3" t="inlineStr">
        <is>
          <t>N22, N23, N25</t>
        </is>
      </c>
      <c r="E220" s="3" t="inlineStr">
        <is>
          <t>VGH+2</t>
        </is>
      </c>
      <c r="F220" s="10">
        <f>'Per-Trial Conf'!$D29</f>
        <v/>
      </c>
      <c r="G220" s="10">
        <f>IF(J220&gt;0,-$B$3*LN(J220),"")</f>
        <v/>
      </c>
      <c r="H220" s="10">
        <f>IF(G220="","",EXP(-G220/$B$3))</f>
        <v/>
      </c>
      <c r="I220" s="10">
        <f>IF(H220="","",H220/SUM(H$219:H$222))</f>
        <v/>
      </c>
      <c r="J220" s="10">
        <f>AVERAGE('Per-Trial Conf'!$E29:$G29)</f>
        <v/>
      </c>
      <c r="K220" s="10">
        <f>IF(COUNT('Per-Trial Conf'!$E29:$G29)&gt;1,STDEV('Per-Trial Conf'!$E29:$G29)/SQRT(COUNT('Per-Trial Conf'!$E29:$G29)),0)</f>
        <v/>
      </c>
      <c r="L220" s="10">
        <f>AVERAGE('Per-Trial Conf'!$H29:$J29)</f>
        <v/>
      </c>
      <c r="M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VGH+2</t>
        </is>
      </c>
      <c r="D221" s="3" t="inlineStr">
        <is>
          <t>N22, N23, N25</t>
        </is>
      </c>
      <c r="E221" s="3" t="inlineStr">
        <is>
          <t>VGH+a</t>
        </is>
      </c>
      <c r="F221" s="10">
        <f>'Per-Trial Conf'!$D30</f>
        <v/>
      </c>
      <c r="G221" s="10">
        <f>IF(J221&gt;0,-$B$3*LN(J221),"")</f>
        <v/>
      </c>
      <c r="H221" s="10">
        <f>IF(G221="","",EXP(-G221/$B$3))</f>
        <v/>
      </c>
      <c r="I221" s="10">
        <f>IF(H221="","",H221/SUM(H$219:H$222))</f>
        <v/>
      </c>
      <c r="J221" s="10">
        <f>AVERAGE('Per-Trial Conf'!$E30:$G30)</f>
        <v/>
      </c>
      <c r="K221" s="10">
        <f>IF(COUNT('Per-Trial Conf'!$E30:$G30)&gt;1,STDEV('Per-Trial Conf'!$E30:$G30)/SQRT(COUNT('Per-Trial Conf'!$E30:$G30)),0)</f>
        <v/>
      </c>
      <c r="L221" s="10">
        <f>AVERAGE('Per-Trial Conf'!$H30:$J30)</f>
        <v/>
      </c>
      <c r="M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 0</t>
        </is>
      </c>
      <c r="D222" s="3" t="inlineStr">
        <is>
          <t>N22, N25</t>
        </is>
      </c>
      <c r="E222" s="3" t="inlineStr">
        <is>
          <t>VGH01</t>
        </is>
      </c>
      <c r="F222" s="10">
        <f>'Per-Trial Conf'!$D31</f>
        <v/>
      </c>
      <c r="G222" s="10">
        <f>IF(J222&gt;0,-$B$3*LN(J222),"")</f>
        <v/>
      </c>
      <c r="H222" s="10">
        <f>IF(G222="","",EXP(-G222/$B$3))</f>
        <v/>
      </c>
      <c r="I222" s="10">
        <f>IF(H222="","",H222/SUM(H$219:H$222))</f>
        <v/>
      </c>
      <c r="J222" s="10">
        <f>AVERAGE('Per-Trial Conf'!$E31:$G31)</f>
        <v/>
      </c>
      <c r="K222" s="10">
        <f>IF(COUNT('Per-Trial Conf'!$E31:$G31)&gt;1,STDEV('Per-Trial Conf'!$E31:$G31)/SQRT(COUNT('Per-Trial Conf'!$E31:$G31)),0)</f>
        <v/>
      </c>
      <c r="L222" s="10">
        <f>AVERAGE('Per-Trial Conf'!$H31:$J31)</f>
        <v/>
      </c>
      <c r="M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n"/>
      <c r="D223" s="6" t="n"/>
      <c r="E223" s="6" t="inlineStr">
        <is>
          <t>SUM</t>
        </is>
      </c>
      <c r="F223" s="12" t="n"/>
      <c r="G223" s="12" t="n"/>
      <c r="H223" s="12">
        <f>SUM(H219:H222)</f>
        <v/>
      </c>
      <c r="I223" s="12">
        <f>SUM(I219:I222)</f>
        <v/>
      </c>
      <c r="J223" s="12">
        <f>SUM(J219:J222)</f>
        <v/>
      </c>
      <c r="K223" s="12" t="n"/>
      <c r="L223" s="12">
        <f>SUM(L219:L222)</f>
        <v/>
      </c>
      <c r="M223" s="12" t="n"/>
    </row>
    <row r="224">
      <c r="A224" s="6" t="n"/>
      <c r="B224" s="6" t="n"/>
      <c r="C224" s="6" t="n"/>
      <c r="D224" s="6" t="n"/>
      <c r="E224" s="6" t="inlineStr">
        <is>
          <t>ensemble charge</t>
        </is>
      </c>
      <c r="F224" s="12" t="n"/>
      <c r="G224" s="12" t="n"/>
      <c r="H224" s="12" t="n"/>
      <c r="I224" s="12">
        <f>SUMPRODUCT($F219:$F222,I219:I222)</f>
        <v/>
      </c>
      <c r="J224" s="12">
        <f>SUMPRODUCT($F219:$F222,J219:J222)</f>
        <v/>
      </c>
      <c r="K224" s="12" t="n"/>
      <c r="L224" s="12">
        <f>SUMPRODUCT($F219:$F222,L219:L222)</f>
        <v/>
      </c>
      <c r="M224" s="12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3" t="inlineStr">
        <is>
          <t>N03, N15, N82</t>
        </is>
      </c>
      <c r="E227" s="3" t="inlineStr">
        <is>
          <t>AXI+1</t>
        </is>
      </c>
      <c r="F227" s="10">
        <f>'Per-Trial Conf'!$D71</f>
        <v/>
      </c>
      <c r="G227" s="10">
        <f>IF(J227&gt;0,-$B$3*LN(J227),"")</f>
        <v/>
      </c>
      <c r="H227" s="10">
        <f>IF(G227="","",EXP(-G227/$B$3))</f>
        <v/>
      </c>
      <c r="I227" s="10">
        <f>IF(H227="","",H227/SUM(H$227:H$229))</f>
        <v/>
      </c>
      <c r="J227" s="10">
        <f>AVERAGE('Per-Trial Conf'!$E71:$G71)</f>
        <v/>
      </c>
      <c r="K227" s="10">
        <f>IF(COUNT('Per-Trial Conf'!$E71:$G71)&gt;1,STDEV('Per-Trial Conf'!$E71:$G71)/SQRT(COUNT('Per-Trial Conf'!$E71:$G71)),0)</f>
        <v/>
      </c>
      <c r="L227" s="10">
        <f>AVERAGE('Per-Trial Conf'!$H71:$J71)</f>
        <v/>
      </c>
      <c r="M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 0a</t>
        </is>
      </c>
      <c r="D228" s="3" t="inlineStr">
        <is>
          <t>N15, N82</t>
        </is>
      </c>
      <c r="E228" s="3" t="inlineStr">
        <is>
          <t>AXI01</t>
        </is>
      </c>
      <c r="F228" s="10">
        <f>'Per-Trial Conf'!$D72</f>
        <v/>
      </c>
      <c r="G228" s="10">
        <f>IF(J228&gt;0,-$B$3*LN(J228),"")</f>
        <v/>
      </c>
      <c r="H228" s="10">
        <f>IF(G228="","",EXP(-G228/$B$3))</f>
        <v/>
      </c>
      <c r="I228" s="10">
        <f>IF(H228="","",H228/SUM(H$227:H$229))</f>
        <v/>
      </c>
      <c r="J228" s="10">
        <f>AVERAGE('Per-Trial Conf'!$E72:$G72)</f>
        <v/>
      </c>
      <c r="K228" s="10">
        <f>IF(COUNT('Per-Trial Conf'!$E72:$G72)&gt;1,STDEV('Per-Trial Conf'!$E72:$G72)/SQRT(COUNT('Per-Trial Conf'!$E72:$G72)),0)</f>
        <v/>
      </c>
      <c r="L228" s="10">
        <f>AVERAGE('Per-Trial Conf'!$H72:$J72)</f>
        <v/>
      </c>
      <c r="M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 0b</t>
        </is>
      </c>
      <c r="D229" s="3" t="inlineStr">
        <is>
          <t>N14, N82</t>
        </is>
      </c>
      <c r="E229" s="3" t="inlineStr">
        <is>
          <t>AXI02</t>
        </is>
      </c>
      <c r="F229" s="10">
        <f>'Per-Trial Conf'!$D73</f>
        <v/>
      </c>
      <c r="G229" s="10">
        <f>IF(J229&gt;0,-$B$3*LN(J229),"")</f>
        <v/>
      </c>
      <c r="H229" s="10">
        <f>IF(G229="","",EXP(-G229/$B$3))</f>
        <v/>
      </c>
      <c r="I229" s="10">
        <f>IF(H229="","",H229/SUM(H$227:H$229))</f>
        <v/>
      </c>
      <c r="J229" s="10">
        <f>AVERAGE('Per-Trial Conf'!$E73:$G73)</f>
        <v/>
      </c>
      <c r="K229" s="10">
        <f>IF(COUNT('Per-Trial Conf'!$E73:$G73)&gt;1,STDEV('Per-Trial Conf'!$E73:$G73)/SQRT(COUNT('Per-Trial Conf'!$E73:$G73)),0)</f>
        <v/>
      </c>
      <c r="L229" s="10">
        <f>AVERAGE('Per-Trial Conf'!$H73:$J73)</f>
        <v/>
      </c>
      <c r="M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n"/>
      <c r="D230" s="6" t="n"/>
      <c r="E230" s="6" t="inlineStr">
        <is>
          <t>SUM</t>
        </is>
      </c>
      <c r="F230" s="12" t="n"/>
      <c r="G230" s="12" t="n"/>
      <c r="H230" s="12">
        <f>SUM(H227:H229)</f>
        <v/>
      </c>
      <c r="I230" s="12">
        <f>SUM(I227:I229)</f>
        <v/>
      </c>
      <c r="J230" s="12">
        <f>SUM(J227:J229)</f>
        <v/>
      </c>
      <c r="K230" s="12" t="n"/>
      <c r="L230" s="12">
        <f>SUM(L227:L229)</f>
        <v/>
      </c>
      <c r="M230" s="12" t="n"/>
    </row>
    <row r="231">
      <c r="A231" s="6" t="n"/>
      <c r="B231" s="6" t="n"/>
      <c r="C231" s="6" t="n"/>
      <c r="D231" s="6" t="n"/>
      <c r="E231" s="6" t="inlineStr">
        <is>
          <t>ensemble charge</t>
        </is>
      </c>
      <c r="F231" s="12" t="n"/>
      <c r="G231" s="12" t="n"/>
      <c r="H231" s="12" t="n"/>
      <c r="I231" s="12">
        <f>SUMPRODUCT($F227:$F229,I227:I229)</f>
        <v/>
      </c>
      <c r="J231" s="12">
        <f>SUMPRODUCT($F227:$F229,J227:J229)</f>
        <v/>
      </c>
      <c r="K231" s="12" t="n"/>
      <c r="L231" s="12">
        <f>SUMPRODUCT($F227:$F229,L227:L229)</f>
        <v/>
      </c>
      <c r="M231" s="12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Conf'!$D74</f>
        <v/>
      </c>
      <c r="G233" s="10">
        <f>IF(J233&gt;0,-$B$3*LN(J233),"")</f>
        <v/>
      </c>
      <c r="H233" s="10">
        <f>IF(G233="","",EXP(-G233/$B$3))</f>
        <v/>
      </c>
      <c r="I233" s="10">
        <f>IF(H233="","",H233/SUM(H$233:H$235))</f>
        <v/>
      </c>
      <c r="J233" s="10">
        <f>AVERAGE('Per-Trial Conf'!$E74:$G74)</f>
        <v/>
      </c>
      <c r="K233" s="10">
        <f>IF(COUNT('Per-Trial Conf'!$E74:$G74)&gt;1,STDEV('Per-Trial Conf'!$E74:$G74)/SQRT(COUNT('Per-Trial Conf'!$E74:$G74)),0)</f>
        <v/>
      </c>
      <c r="L233" s="10">
        <f>AVERAGE('Per-Trial Conf'!$H74:$J74)</f>
        <v/>
      </c>
      <c r="M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Conf'!$D75</f>
        <v/>
      </c>
      <c r="G234" s="10">
        <f>IF(J234&gt;0,-$B$3*LN(J234),"")</f>
        <v/>
      </c>
      <c r="H234" s="10">
        <f>IF(G234="","",EXP(-G234/$B$3))</f>
        <v/>
      </c>
      <c r="I234" s="10">
        <f>IF(H234="","",H234/SUM(H$233:H$235))</f>
        <v/>
      </c>
      <c r="J234" s="10">
        <f>AVERAGE('Per-Trial Conf'!$E75:$G75)</f>
        <v/>
      </c>
      <c r="K234" s="10">
        <f>IF(COUNT('Per-Trial Conf'!$E75:$G75)&gt;1,STDEV('Per-Trial Conf'!$E75:$G75)/SQRT(COUNT('Per-Trial Conf'!$E75:$G75)),0)</f>
        <v/>
      </c>
      <c r="L234" s="10">
        <f>AVERAGE('Per-Trial Conf'!$H75:$J75)</f>
        <v/>
      </c>
      <c r="M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Conf'!$D76</f>
        <v/>
      </c>
      <c r="G235" s="10">
        <f>IF(J235&gt;0,-$B$3*LN(J235),"")</f>
        <v/>
      </c>
      <c r="H235" s="10">
        <f>IF(G235="","",EXP(-G235/$B$3))</f>
        <v/>
      </c>
      <c r="I235" s="10">
        <f>IF(H235="","",H235/SUM(H$233:H$235))</f>
        <v/>
      </c>
      <c r="J235" s="10">
        <f>AVERAGE('Per-Trial Conf'!$E76:$G76)</f>
        <v/>
      </c>
      <c r="K235" s="10">
        <f>IF(COUNT('Per-Trial Conf'!$E76:$G76)&gt;1,STDEV('Per-Trial Conf'!$E76:$G76)/SQRT(COUNT('Per-Trial Conf'!$E76:$G76)),0)</f>
        <v/>
      </c>
      <c r="L235" s="10">
        <f>AVERAGE('Per-Trial Conf'!$H76:$J76)</f>
        <v/>
      </c>
      <c r="M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LEV-1a</t>
        </is>
      </c>
      <c r="D239" s="3" t="inlineStr">
        <is>
          <t>N15, N23, N26</t>
        </is>
      </c>
      <c r="E239" s="3" t="inlineStr">
        <is>
          <t>LEV-1</t>
        </is>
      </c>
      <c r="F239" s="10">
        <f>'Per-Trial Conf'!$D61</f>
        <v/>
      </c>
      <c r="G239" s="10">
        <f>IF(J239&gt;0,-$B$3*LN(J239),"")</f>
        <v/>
      </c>
      <c r="H239" s="10">
        <f>IF(G239="","",EXP(-G239/$B$3))</f>
        <v/>
      </c>
      <c r="I239" s="10">
        <f>IF(H239="","",H239/SUM(H$239:H$241))</f>
        <v/>
      </c>
      <c r="J239" s="10">
        <f>AVERAGE('Per-Trial Conf'!$E61:$G61)</f>
        <v/>
      </c>
      <c r="K239" s="10">
        <f>IF(COUNT('Per-Trial Conf'!$E61:$G61)&gt;1,STDEV('Per-Trial Conf'!$E61:$G61)/SQRT(COUNT('Per-Trial Conf'!$E61:$G61)),0)</f>
        <v/>
      </c>
      <c r="L239" s="10">
        <f>AVERAGE('Per-Trial Conf'!$H61:$J61)</f>
        <v/>
      </c>
      <c r="M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LEV-1b</t>
        </is>
      </c>
      <c r="D240" s="3" t="inlineStr">
        <is>
          <t>N15, N23, N26</t>
        </is>
      </c>
      <c r="E240" s="3" t="inlineStr">
        <is>
          <t>LEV-2</t>
        </is>
      </c>
      <c r="F240" s="10">
        <f>'Per-Trial Conf'!$D62</f>
        <v/>
      </c>
      <c r="G240" s="10">
        <f>IF(J240&gt;0,-$B$3*LN(J240),"")</f>
        <v/>
      </c>
      <c r="H240" s="10">
        <f>IF(G240="","",EXP(-G240/$B$3))</f>
        <v/>
      </c>
      <c r="I240" s="10">
        <f>IF(H240="","",H240/SUM(H$239:H$241))</f>
        <v/>
      </c>
      <c r="J240" s="10">
        <f>AVERAGE('Per-Trial Conf'!$E62:$G62)</f>
        <v/>
      </c>
      <c r="K240" s="10">
        <f>IF(COUNT('Per-Trial Conf'!$E62:$G62)&gt;1,STDEV('Per-Trial Conf'!$E62:$G62)/SQRT(COUNT('Per-Trial Conf'!$E62:$G62)),0)</f>
        <v/>
      </c>
      <c r="L240" s="10">
        <f>AVERAGE('Per-Trial Conf'!$H62:$J62)</f>
        <v/>
      </c>
      <c r="M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 0</t>
        </is>
      </c>
      <c r="D241" s="3" t="inlineStr">
        <is>
          <t>N15, N23, N26</t>
        </is>
      </c>
      <c r="E241" s="3" t="inlineStr">
        <is>
          <t>LEV01</t>
        </is>
      </c>
      <c r="F241" s="10">
        <f>'Per-Trial Conf'!$D63</f>
        <v/>
      </c>
      <c r="G241" s="10">
        <f>IF(J241&gt;0,-$B$3*LN(J241),"")</f>
        <v/>
      </c>
      <c r="H241" s="10">
        <f>IF(G241="","",EXP(-G241/$B$3))</f>
        <v/>
      </c>
      <c r="I241" s="10">
        <f>IF(H241="","",H241/SUM(H$239:H$241))</f>
        <v/>
      </c>
      <c r="J241" s="10">
        <f>AVERAGE('Per-Trial Conf'!$E63:$G63)</f>
        <v/>
      </c>
      <c r="K241" s="10">
        <f>IF(COUNT('Per-Trial Conf'!$E63:$G63)&gt;1,STDEV('Per-Trial Conf'!$E63:$G63)/SQRT(COUNT('Per-Trial Conf'!$E63:$G63)),0)</f>
        <v/>
      </c>
      <c r="L241" s="10">
        <f>AVERAGE('Per-Trial Conf'!$H63:$J63)</f>
        <v/>
      </c>
      <c r="M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3" t="inlineStr">
        <is>
          <t>N12, N14, N26, N30</t>
        </is>
      </c>
      <c r="E245" s="3" t="inlineStr">
        <is>
          <t>BAX+1</t>
        </is>
      </c>
      <c r="F245" s="10">
        <f>'Per-Trial Conf'!$D64</f>
        <v/>
      </c>
      <c r="G245" s="10">
        <f>IF(J245&gt;0,-$B$3*LN(J245),"")</f>
        <v/>
      </c>
      <c r="H245" s="10">
        <f>IF(G245="","",EXP(-G245/$B$3))</f>
        <v/>
      </c>
      <c r="I245" s="10">
        <f>IF(H245="","",H245/SUM(H$245:H$248))</f>
        <v/>
      </c>
      <c r="J245" s="10">
        <f>AVERAGE('Per-Trial Conf'!$E64:$G64)</f>
        <v/>
      </c>
      <c r="K245" s="10">
        <f>IF(COUNT('Per-Trial Conf'!$E64:$G64)&gt;1,STDEV('Per-Trial Conf'!$E64:$G64)/SQRT(COUNT('Per-Trial Conf'!$E64:$G64)),0)</f>
        <v/>
      </c>
      <c r="L245" s="10">
        <f>AVERAGE('Per-Trial Conf'!$H64:$J64)</f>
        <v/>
      </c>
      <c r="M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3" t="inlineStr">
        <is>
          <t>N12, N14</t>
        </is>
      </c>
      <c r="E246" s="3" t="inlineStr">
        <is>
          <t>BAX-1</t>
        </is>
      </c>
      <c r="F246" s="10">
        <f>'Per-Trial Conf'!$D65</f>
        <v/>
      </c>
      <c r="G246" s="10">
        <f>IF(J246&gt;0,-$B$3*LN(J246),"")</f>
        <v/>
      </c>
      <c r="H246" s="10">
        <f>IF(G246="","",EXP(-G246/$B$3))</f>
        <v/>
      </c>
      <c r="I246" s="10">
        <f>IF(H246="","",H246/SUM(H$245:H$248))</f>
        <v/>
      </c>
      <c r="J246" s="10">
        <f>AVERAGE('Per-Trial Conf'!$E65:$G65)</f>
        <v/>
      </c>
      <c r="K246" s="10">
        <f>IF(COUNT('Per-Trial Conf'!$E65:$G65)&gt;1,STDEV('Per-Trial Conf'!$E65:$G65)/SQRT(COUNT('Per-Trial Conf'!$E65:$G65)),0)</f>
        <v/>
      </c>
      <c r="L246" s="10">
        <f>AVERAGE('Per-Trial Conf'!$H65:$J65)</f>
        <v/>
      </c>
      <c r="M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 0a</t>
        </is>
      </c>
      <c r="D247" s="3" t="inlineStr">
        <is>
          <t>N12, N14, N30</t>
        </is>
      </c>
      <c r="E247" s="3" t="inlineStr">
        <is>
          <t>BAX01</t>
        </is>
      </c>
      <c r="F247" s="10">
        <f>'Per-Trial Conf'!$D66</f>
        <v/>
      </c>
      <c r="G247" s="10">
        <f>IF(J247&gt;0,-$B$3*LN(J247),"")</f>
        <v/>
      </c>
      <c r="H247" s="10">
        <f>IF(G247="","",EXP(-G247/$B$3))</f>
        <v/>
      </c>
      <c r="I247" s="10">
        <f>IF(H247="","",H247/SUM(H$245:H$248))</f>
        <v/>
      </c>
      <c r="J247" s="10">
        <f>AVERAGE('Per-Trial Conf'!$E66:$G66)</f>
        <v/>
      </c>
      <c r="K247" s="10">
        <f>IF(COUNT('Per-Trial Conf'!$E66:$G66)&gt;1,STDEV('Per-Trial Conf'!$E66:$G66)/SQRT(COUNT('Per-Trial Conf'!$E66:$G66)),0)</f>
        <v/>
      </c>
      <c r="L247" s="10">
        <f>AVERAGE('Per-Trial Conf'!$H66:$J66)</f>
        <v/>
      </c>
      <c r="M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 0b</t>
        </is>
      </c>
      <c r="D248" s="3" t="inlineStr">
        <is>
          <t>N12, N14, N26</t>
        </is>
      </c>
      <c r="E248" s="3" t="inlineStr">
        <is>
          <t>BAX02</t>
        </is>
      </c>
      <c r="F248" s="10">
        <f>'Per-Trial Conf'!$D67</f>
        <v/>
      </c>
      <c r="G248" s="10">
        <f>IF(J248&gt;0,-$B$3*LN(J248),"")</f>
        <v/>
      </c>
      <c r="H248" s="10">
        <f>IF(G248="","",EXP(-G248/$B$3))</f>
        <v/>
      </c>
      <c r="I248" s="10">
        <f>IF(H248="","",H248/SUM(H$245:H$248))</f>
        <v/>
      </c>
      <c r="J248" s="10">
        <f>AVERAGE('Per-Trial Conf'!$E67:$G67)</f>
        <v/>
      </c>
      <c r="K248" s="10">
        <f>IF(COUNT('Per-Trial Conf'!$E67:$G67)&gt;1,STDEV('Per-Trial Conf'!$E67:$G67)/SQRT(COUNT('Per-Trial Conf'!$E67:$G67)),0)</f>
        <v/>
      </c>
      <c r="L248" s="10">
        <f>AVERAGE('Per-Trial Conf'!$H67:$J67)</f>
        <v/>
      </c>
      <c r="M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n"/>
      <c r="D249" s="6" t="n"/>
      <c r="E249" s="6" t="inlineStr">
        <is>
          <t>SUM</t>
        </is>
      </c>
      <c r="F249" s="12" t="n"/>
      <c r="G249" s="12" t="n"/>
      <c r="H249" s="12">
        <f>SUM(H245:H248)</f>
        <v/>
      </c>
      <c r="I249" s="12">
        <f>SUM(I245:I248)</f>
        <v/>
      </c>
      <c r="J249" s="12">
        <f>SUM(J245:J248)</f>
        <v/>
      </c>
      <c r="K249" s="12" t="n"/>
      <c r="L249" s="12">
        <f>SUM(L245:L248)</f>
        <v/>
      </c>
      <c r="M249" s="12" t="n"/>
    </row>
    <row r="250">
      <c r="A250" s="6" t="n"/>
      <c r="B250" s="6" t="n"/>
      <c r="C250" s="6" t="n"/>
      <c r="D250" s="6" t="n"/>
      <c r="E250" s="6" t="inlineStr">
        <is>
          <t>ensemble charge</t>
        </is>
      </c>
      <c r="F250" s="12" t="n"/>
      <c r="G250" s="12" t="n"/>
      <c r="H250" s="12" t="n"/>
      <c r="I250" s="12">
        <f>SUMPRODUCT($F245:$F248,I245:I248)</f>
        <v/>
      </c>
      <c r="J250" s="12">
        <f>SUMPRODUCT($F245:$F248,J245:J248)</f>
        <v/>
      </c>
      <c r="K250" s="12" t="n"/>
      <c r="L250" s="12">
        <f>SUMPRODUCT($F245:$F248,L245:L248)</f>
        <v/>
      </c>
      <c r="M250" s="12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3" t="inlineStr">
        <is>
          <t>N12, N14, N26, N30</t>
        </is>
      </c>
      <c r="E252" s="3" t="inlineStr">
        <is>
          <t>BAX+1</t>
        </is>
      </c>
      <c r="F252" s="10">
        <f>'Per-Trial Conf'!$D92</f>
        <v/>
      </c>
      <c r="G252" s="10">
        <f>IF(J252&gt;0,-$B$3*LN(J252),"")</f>
        <v/>
      </c>
      <c r="H252" s="10">
        <f>IF(G252="","",EXP(-G252/$B$3))</f>
        <v/>
      </c>
      <c r="I252" s="10">
        <f>IF(H252="","",H252/SUM(H$252:H$255))</f>
        <v/>
      </c>
      <c r="J252" s="10">
        <f>AVERAGE('Per-Trial Conf'!$E92:$G92)</f>
        <v/>
      </c>
      <c r="K252" s="10">
        <f>IF(COUNT('Per-Trial Conf'!$E92:$G92)&gt;1,STDEV('Per-Trial Conf'!$E92:$G92)/SQRT(COUNT('Per-Trial Conf'!$E92:$G92)),0)</f>
        <v/>
      </c>
      <c r="L252" s="10">
        <f>AVERAGE('Per-Trial Conf'!$H92:$J92)</f>
        <v/>
      </c>
      <c r="M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3" t="inlineStr">
        <is>
          <t>N12, N14</t>
        </is>
      </c>
      <c r="E253" s="3" t="inlineStr">
        <is>
          <t>BAX-1</t>
        </is>
      </c>
      <c r="F253" s="10">
        <f>'Per-Trial Conf'!$D93</f>
        <v/>
      </c>
      <c r="G253" s="10">
        <f>IF(J253&gt;0,-$B$3*LN(J253),"")</f>
        <v/>
      </c>
      <c r="H253" s="10">
        <f>IF(G253="","",EXP(-G253/$B$3))</f>
        <v/>
      </c>
      <c r="I253" s="10">
        <f>IF(H253="","",H253/SUM(H$252:H$255))</f>
        <v/>
      </c>
      <c r="J253" s="10">
        <f>AVERAGE('Per-Trial Conf'!$E93:$G93)</f>
        <v/>
      </c>
      <c r="K253" s="10">
        <f>IF(COUNT('Per-Trial Conf'!$E93:$G93)&gt;1,STDEV('Per-Trial Conf'!$E93:$G93)/SQRT(COUNT('Per-Trial Conf'!$E93:$G93)),0)</f>
        <v/>
      </c>
      <c r="L253" s="10">
        <f>AVERAGE('Per-Trial Conf'!$H93:$J93)</f>
        <v/>
      </c>
      <c r="M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 0a</t>
        </is>
      </c>
      <c r="D254" s="3" t="inlineStr">
        <is>
          <t>N12, N14, N30</t>
        </is>
      </c>
      <c r="E254" s="3" t="inlineStr">
        <is>
          <t>BAX01</t>
        </is>
      </c>
      <c r="F254" s="10">
        <f>'Per-Trial Conf'!$D94</f>
        <v/>
      </c>
      <c r="G254" s="10">
        <f>IF(J254&gt;0,-$B$3*LN(J254),"")</f>
        <v/>
      </c>
      <c r="H254" s="10">
        <f>IF(G254="","",EXP(-G254/$B$3))</f>
        <v/>
      </c>
      <c r="I254" s="10">
        <f>IF(H254="","",H254/SUM(H$252:H$255))</f>
        <v/>
      </c>
      <c r="J254" s="10">
        <f>AVERAGE('Per-Trial Conf'!$E94:$G94)</f>
        <v/>
      </c>
      <c r="K254" s="10">
        <f>IF(COUNT('Per-Trial Conf'!$E94:$G94)&gt;1,STDEV('Per-Trial Conf'!$E94:$G94)/SQRT(COUNT('Per-Trial Conf'!$E94:$G94)),0)</f>
        <v/>
      </c>
      <c r="L254" s="10">
        <f>AVERAGE('Per-Trial Conf'!$H94:$J94)</f>
        <v/>
      </c>
      <c r="M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 0b</t>
        </is>
      </c>
      <c r="D255" s="3" t="inlineStr">
        <is>
          <t>N12, N14, N26</t>
        </is>
      </c>
      <c r="E255" s="3" t="inlineStr">
        <is>
          <t>BAX02</t>
        </is>
      </c>
      <c r="F255" s="10">
        <f>'Per-Trial Conf'!$D95</f>
        <v/>
      </c>
      <c r="G255" s="10">
        <f>IF(J255&gt;0,-$B$3*LN(J255),"")</f>
        <v/>
      </c>
      <c r="H255" s="10">
        <f>IF(G255="","",EXP(-G255/$B$3))</f>
        <v/>
      </c>
      <c r="I255" s="10">
        <f>IF(H255="","",H255/SUM(H$252:H$255))</f>
        <v/>
      </c>
      <c r="J255" s="10">
        <f>AVERAGE('Per-Trial Conf'!$E95:$G95)</f>
        <v/>
      </c>
      <c r="K255" s="10">
        <f>IF(COUNT('Per-Trial Conf'!$E95:$G95)&gt;1,STDEV('Per-Trial Conf'!$E95:$G95)/SQRT(COUNT('Per-Trial Conf'!$E95:$G95)),0)</f>
        <v/>
      </c>
      <c r="L255" s="10">
        <f>AVERAGE('Per-Trial Conf'!$H95:$J95)</f>
        <v/>
      </c>
      <c r="M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n"/>
      <c r="D256" s="6" t="n"/>
      <c r="E256" s="6" t="inlineStr">
        <is>
          <t>SUM</t>
        </is>
      </c>
      <c r="F256" s="12" t="n"/>
      <c r="G256" s="12" t="n"/>
      <c r="H256" s="12">
        <f>SUM(H252:H255)</f>
        <v/>
      </c>
      <c r="I256" s="12">
        <f>SUM(I252:I255)</f>
        <v/>
      </c>
      <c r="J256" s="12">
        <f>SUM(J252:J255)</f>
        <v/>
      </c>
      <c r="K256" s="12" t="n"/>
      <c r="L256" s="12">
        <f>SUM(L252:L255)</f>
        <v/>
      </c>
      <c r="M256" s="12" t="n"/>
    </row>
    <row r="257">
      <c r="A257" s="6" t="n"/>
      <c r="B257" s="6" t="n"/>
      <c r="C257" s="6" t="n"/>
      <c r="D257" s="6" t="n"/>
      <c r="E257" s="6" t="inlineStr">
        <is>
          <t>ensemble charge</t>
        </is>
      </c>
      <c r="F257" s="12" t="n"/>
      <c r="G257" s="12" t="n"/>
      <c r="H257" s="12" t="n"/>
      <c r="I257" s="12">
        <f>SUMPRODUCT($F252:$F255,I252:I255)</f>
        <v/>
      </c>
      <c r="J257" s="12">
        <f>SUMPRODUCT($F252:$F255,J252:J255)</f>
        <v/>
      </c>
      <c r="K257" s="12" t="n"/>
      <c r="L257" s="12">
        <f>SUMPRODUCT($F252:$F255,L252:L255)</f>
        <v/>
      </c>
      <c r="M257" s="12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3" t="inlineStr">
        <is>
          <t>N23, N24, N25, N4</t>
        </is>
      </c>
      <c r="E259" s="3" t="inlineStr">
        <is>
          <t>B49+1</t>
        </is>
      </c>
      <c r="F259" s="10">
        <f>'Per-Trial Conf'!$D77</f>
        <v/>
      </c>
      <c r="G259" s="10">
        <f>IF(J259&gt;0,-$B$3*LN(J259),"")</f>
        <v/>
      </c>
      <c r="H259" s="10">
        <f>IF(G259="","",EXP(-G259/$B$3))</f>
        <v/>
      </c>
      <c r="I259" s="10">
        <f>IF(H259="","",H259/SUM(H$259:H$262))</f>
        <v/>
      </c>
      <c r="J259" s="10">
        <f>AVERAGE('Per-Trial Conf'!$E77:$G77)</f>
        <v/>
      </c>
      <c r="K259" s="10">
        <f>IF(COUNT('Per-Trial Conf'!$E77:$G77)&gt;1,STDEV('Per-Trial Conf'!$E77:$G77)/SQRT(COUNT('Per-Trial Conf'!$E77:$G77)),0)</f>
        <v/>
      </c>
      <c r="L259" s="10">
        <f>AVERAGE('Per-Trial Conf'!$H77:$J77)</f>
        <v/>
      </c>
      <c r="M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 0a</t>
        </is>
      </c>
      <c r="D260" s="3" t="inlineStr">
        <is>
          <t>N23, N24, N25</t>
        </is>
      </c>
      <c r="E260" s="3" t="inlineStr">
        <is>
          <t>B4901</t>
        </is>
      </c>
      <c r="F260" s="10">
        <f>'Per-Trial Conf'!$D78</f>
        <v/>
      </c>
      <c r="G260" s="10">
        <f>IF(J260&gt;0,-$B$3*LN(J260),"")</f>
        <v/>
      </c>
      <c r="H260" s="10">
        <f>IF(G260="","",EXP(-G260/$B$3))</f>
        <v/>
      </c>
      <c r="I260" s="10">
        <f>IF(H260="","",H260/SUM(H$259:H$262))</f>
        <v/>
      </c>
      <c r="J260" s="10">
        <f>AVERAGE('Per-Trial Conf'!$E78:$G78)</f>
        <v/>
      </c>
      <c r="K260" s="10">
        <f>IF(COUNT('Per-Trial Conf'!$E78:$G78)&gt;1,STDEV('Per-Trial Conf'!$E78:$G78)/SQRT(COUNT('Per-Trial Conf'!$E78:$G78)),0)</f>
        <v/>
      </c>
      <c r="L260" s="10">
        <f>AVERAGE('Per-Trial Conf'!$H78:$J78)</f>
        <v/>
      </c>
      <c r="M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 0b</t>
        </is>
      </c>
      <c r="D261" s="3" t="inlineStr">
        <is>
          <t>N23, N24, N4</t>
        </is>
      </c>
      <c r="E261" s="3" t="inlineStr">
        <is>
          <t>B4902</t>
        </is>
      </c>
      <c r="F261" s="10">
        <f>'Per-Trial Conf'!$D79</f>
        <v/>
      </c>
      <c r="G261" s="10">
        <f>IF(J261&gt;0,-$B$3*LN(J261),"")</f>
        <v/>
      </c>
      <c r="H261" s="10">
        <f>IF(G261="","",EXP(-G261/$B$3))</f>
        <v/>
      </c>
      <c r="I261" s="10">
        <f>IF(H261="","",H261/SUM(H$259:H$262))</f>
        <v/>
      </c>
      <c r="J261" s="10">
        <f>AVERAGE('Per-Trial Conf'!$E79:$G79)</f>
        <v/>
      </c>
      <c r="K261" s="10">
        <f>IF(COUNT('Per-Trial Conf'!$E79:$G79)&gt;1,STDEV('Per-Trial Conf'!$E79:$G79)/SQRT(COUNT('Per-Trial Conf'!$E79:$G79)),0)</f>
        <v/>
      </c>
      <c r="L261" s="10">
        <f>AVERAGE('Per-Trial Conf'!$H79:$J79)</f>
        <v/>
      </c>
      <c r="M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 0c</t>
        </is>
      </c>
      <c r="D262" s="3" t="inlineStr">
        <is>
          <t>N23, N25, N4</t>
        </is>
      </c>
      <c r="E262" s="3" t="inlineStr">
        <is>
          <t>B4903</t>
        </is>
      </c>
      <c r="F262" s="10">
        <f>'Per-Trial Conf'!$D80</f>
        <v/>
      </c>
      <c r="G262" s="10">
        <f>IF(J262&gt;0,-$B$3*LN(J262),"")</f>
        <v/>
      </c>
      <c r="H262" s="10">
        <f>IF(G262="","",EXP(-G262/$B$3))</f>
        <v/>
      </c>
      <c r="I262" s="10">
        <f>IF(H262="","",H262/SUM(H$259:H$262))</f>
        <v/>
      </c>
      <c r="J262" s="10">
        <f>AVERAGE('Per-Trial Conf'!$E80:$G80)</f>
        <v/>
      </c>
      <c r="K262" s="10">
        <f>IF(COUNT('Per-Trial Conf'!$E80:$G80)&gt;1,STDEV('Per-Trial Conf'!$E80:$G80)/SQRT(COUNT('Per-Trial Conf'!$E80:$G80)),0)</f>
        <v/>
      </c>
      <c r="L262" s="10">
        <f>AVERAGE('Per-Trial Conf'!$H80:$J80)</f>
        <v/>
      </c>
      <c r="M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n"/>
      <c r="D263" s="6" t="n"/>
      <c r="E263" s="6" t="inlineStr">
        <is>
          <t>SUM</t>
        </is>
      </c>
      <c r="F263" s="12" t="n"/>
      <c r="G263" s="12" t="n"/>
      <c r="H263" s="12">
        <f>SUM(H259:H262)</f>
        <v/>
      </c>
      <c r="I263" s="12">
        <f>SUM(I259:I262)</f>
        <v/>
      </c>
      <c r="J263" s="12">
        <f>SUM(J259:J262)</f>
        <v/>
      </c>
      <c r="K263" s="12" t="n"/>
      <c r="L263" s="12">
        <f>SUM(L259:L262)</f>
        <v/>
      </c>
      <c r="M263" s="12" t="n"/>
    </row>
    <row r="264">
      <c r="A264" s="6" t="n"/>
      <c r="B264" s="6" t="n"/>
      <c r="C264" s="6" t="n"/>
      <c r="D264" s="6" t="n"/>
      <c r="E264" s="6" t="inlineStr">
        <is>
          <t>ensemble charge</t>
        </is>
      </c>
      <c r="F264" s="12" t="n"/>
      <c r="G264" s="12" t="n"/>
      <c r="H264" s="12" t="n"/>
      <c r="I264" s="12">
        <f>SUMPRODUCT($F259:$F262,I259:I262)</f>
        <v/>
      </c>
      <c r="J264" s="12">
        <f>SUMPRODUCT($F259:$F262,J259:J262)</f>
        <v/>
      </c>
      <c r="K264" s="12" t="n"/>
      <c r="L264" s="12">
        <f>SUMPRODUCT($F259:$F262,L259:L262)</f>
        <v/>
      </c>
      <c r="M264" s="12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23:54:07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59.5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13</v>
      </c>
      <c r="C22" s="3" t="n">
        <v>35.1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5.4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2026-09-22T23:54:07Z</dcterms:created>
  <dcterms:modified xmlns:dcterms="http://purl.org/dc/terms/" xmlns:xsi="http://www.w3.org/2001/XMLSchema-instance" xsi:type="dcterms:W3CDTF">2026-09-22T23:54:07Z</dcterms:modified>
</cp:coreProperties>
</file>