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-Trial Data" sheetId="1" state="visible" r:id="rId1"/>
    <sheet xmlns:r="http://schemas.openxmlformats.org/officeDocument/2006/relationships" name="Table 1 (Trials)" sheetId="2" state="visible" r:id="rId2"/>
    <sheet xmlns:r="http://schemas.openxmlformats.org/officeDocument/2006/relationships" name="Per-Trial Conf" sheetId="3" state="visible" r:id="rId3"/>
    <sheet xmlns:r="http://schemas.openxmlformats.org/officeDocument/2006/relationships" name="SI-Table2" sheetId="4" state="visible" r:id="rId4"/>
    <sheet xmlns:r="http://schemas.openxmlformats.org/officeDocument/2006/relationships" name="ddG (tautomers)" sheetId="5" state="visible" r:id="rId5"/>
    <sheet xmlns:r="http://schemas.openxmlformats.org/officeDocument/2006/relationships" name="Methods" sheetId="6" state="visible" r:id="rId6"/>
    <sheet xmlns:r="http://schemas.openxmlformats.org/officeDocument/2006/relationships" name="Outliers (holo-apo)" sheetId="7" state="visible" r:id="rId7"/>
    <sheet xmlns:r="http://schemas.openxmlformats.org/officeDocument/2006/relationships" name="Reproducibilit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i val="1"/>
      <sz val="1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5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12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>
      <c r="A1" s="1" t="inlineStr"/>
      <c r="B1" s="1" t="inlineStr"/>
      <c r="C1" s="1" t="inlineStr"/>
      <c r="D1" s="1" t="inlineStr"/>
      <c r="E1" s="1" t="inlineStr">
        <is>
          <t>Ligand #conf</t>
        </is>
      </c>
      <c r="H1" s="1" t="inlineStr">
        <is>
          <t>Ligand crg soln</t>
        </is>
      </c>
      <c r="K1" s="1" t="inlineStr">
        <is>
          <t>Ligand crg bound</t>
        </is>
      </c>
      <c r="N1" s="1" t="inlineStr">
        <is>
          <t>Apo-kinase charge</t>
        </is>
      </c>
      <c r="Q1" s="1" t="inlineStr">
        <is>
          <t>Holo-kinase charge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Kinase</t>
        </is>
      </c>
      <c r="D2" s="2" t="inlineStr">
        <is>
          <t>site</t>
        </is>
      </c>
      <c r="E2" s="2" t="inlineStr">
        <is>
          <t>T01</t>
        </is>
      </c>
      <c r="F2" s="2" t="inlineStr">
        <is>
          <t>T02</t>
        </is>
      </c>
      <c r="G2" s="2" t="inlineStr">
        <is>
          <t>T03</t>
        </is>
      </c>
      <c r="H2" s="2" t="inlineStr">
        <is>
          <t>T01</t>
        </is>
      </c>
      <c r="I2" s="2" t="inlineStr">
        <is>
          <t>T02</t>
        </is>
      </c>
      <c r="J2" s="2" t="inlineStr">
        <is>
          <t>T03</t>
        </is>
      </c>
      <c r="K2" s="2" t="inlineStr">
        <is>
          <t>T01</t>
        </is>
      </c>
      <c r="L2" s="2" t="inlineStr">
        <is>
          <t>T02</t>
        </is>
      </c>
      <c r="M2" s="2" t="inlineStr">
        <is>
          <t>T03</t>
        </is>
      </c>
      <c r="N2" s="2" t="inlineStr">
        <is>
          <t>T01</t>
        </is>
      </c>
      <c r="O2" s="2" t="inlineStr">
        <is>
          <t>T02</t>
        </is>
      </c>
      <c r="P2" s="2" t="inlineStr">
        <is>
          <t>T03</t>
        </is>
      </c>
      <c r="Q2" s="2" t="inlineStr">
        <is>
          <t>T01</t>
        </is>
      </c>
      <c r="R2" s="2" t="inlineStr">
        <is>
          <t>T02</t>
        </is>
      </c>
      <c r="S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EGFR</t>
        </is>
      </c>
      <c r="D3" s="3" t="inlineStr"/>
      <c r="E3" s="3" t="n">
        <v>4</v>
      </c>
      <c r="F3" s="3" t="n">
        <v>5</v>
      </c>
      <c r="G3" s="3" t="n">
        <v>4</v>
      </c>
      <c r="H3" s="4" t="n">
        <v>0.95</v>
      </c>
      <c r="I3" s="4" t="n">
        <v>0.95</v>
      </c>
      <c r="J3" s="4" t="n">
        <v>0.95</v>
      </c>
      <c r="K3" s="4" t="n">
        <v>0.7</v>
      </c>
      <c r="L3" s="4" t="n">
        <v>0.5</v>
      </c>
      <c r="M3" s="4" t="n">
        <v>0.53</v>
      </c>
      <c r="N3" s="4" t="n">
        <v>0.47</v>
      </c>
      <c r="O3" s="4" t="n">
        <v>0.45</v>
      </c>
      <c r="P3" s="4" t="n">
        <v>0.51</v>
      </c>
      <c r="Q3" s="4" t="n">
        <v>0.71</v>
      </c>
      <c r="R3" s="4" t="n">
        <v>0.6</v>
      </c>
      <c r="S3" s="4" t="n">
        <v>0.67</v>
      </c>
    </row>
    <row r="4">
      <c r="A4" s="3" t="inlineStr">
        <is>
          <t>2EUF</t>
        </is>
      </c>
      <c r="B4" s="3" t="inlineStr">
        <is>
          <t>Palbociclib</t>
        </is>
      </c>
      <c r="C4" s="3" t="inlineStr">
        <is>
          <t>CDK6</t>
        </is>
      </c>
      <c r="D4" s="3" t="inlineStr"/>
      <c r="E4" s="3" t="n">
        <v>2</v>
      </c>
      <c r="F4" s="3" t="n">
        <v>2</v>
      </c>
      <c r="G4" s="3" t="n">
        <v>2</v>
      </c>
      <c r="H4" s="4" t="n">
        <v>0.98</v>
      </c>
      <c r="I4" s="4" t="n">
        <v>0.98</v>
      </c>
      <c r="J4" s="4" t="n">
        <v>0.98</v>
      </c>
      <c r="K4" s="4" t="n">
        <v>1</v>
      </c>
      <c r="L4" s="4" t="n">
        <v>1</v>
      </c>
      <c r="M4" s="4" t="n">
        <v>1</v>
      </c>
      <c r="N4" s="4" t="n">
        <v>-9.33</v>
      </c>
      <c r="O4" s="4" t="n">
        <v>-9.68</v>
      </c>
      <c r="P4" s="4" t="n">
        <v>-9.75</v>
      </c>
      <c r="Q4" s="4" t="n">
        <v>-8.5</v>
      </c>
      <c r="R4" s="4" t="n">
        <v>-8.859999999999999</v>
      </c>
      <c r="S4" s="4" t="n">
        <v>-8.93</v>
      </c>
    </row>
    <row r="5">
      <c r="A5" s="3" t="inlineStr">
        <is>
          <t>2HYY</t>
        </is>
      </c>
      <c r="B5" s="3" t="inlineStr">
        <is>
          <t>Imatinib</t>
        </is>
      </c>
      <c r="C5" s="3" t="inlineStr">
        <is>
          <t>ABL</t>
        </is>
      </c>
      <c r="D5" s="3" t="inlineStr"/>
      <c r="E5" s="3" t="n">
        <v>5</v>
      </c>
      <c r="F5" s="3" t="n">
        <v>5</v>
      </c>
      <c r="G5" s="3" t="n">
        <v>5</v>
      </c>
      <c r="H5" s="4" t="n">
        <v>0.97</v>
      </c>
      <c r="I5" s="4" t="n">
        <v>0.97</v>
      </c>
      <c r="J5" s="4" t="n">
        <v>0.97</v>
      </c>
      <c r="K5" s="4" t="n">
        <v>1</v>
      </c>
      <c r="L5" s="4" t="n">
        <v>1</v>
      </c>
      <c r="M5" s="4" t="n">
        <v>1</v>
      </c>
      <c r="N5" s="4" t="n">
        <v>-6.2</v>
      </c>
      <c r="O5" s="4" t="n">
        <v>-6.18</v>
      </c>
      <c r="P5" s="4" t="n">
        <v>-6.19</v>
      </c>
      <c r="Q5" s="4" t="n">
        <v>-5.4</v>
      </c>
      <c r="R5" s="4" t="n">
        <v>-5.34</v>
      </c>
      <c r="S5" s="4" t="n">
        <v>-5.38</v>
      </c>
    </row>
    <row r="6">
      <c r="A6" s="3" t="inlineStr">
        <is>
          <t>2ITO</t>
        </is>
      </c>
      <c r="B6" s="3" t="inlineStr">
        <is>
          <t>Gefitinib</t>
        </is>
      </c>
      <c r="C6" s="3" t="inlineStr">
        <is>
          <t>EGFR</t>
        </is>
      </c>
      <c r="D6" s="3" t="inlineStr"/>
      <c r="E6" s="3" t="n">
        <v>5</v>
      </c>
      <c r="F6" s="3" t="n">
        <v>5</v>
      </c>
      <c r="G6" s="3" t="n">
        <v>5</v>
      </c>
      <c r="H6" s="4" t="n">
        <v>0.3</v>
      </c>
      <c r="I6" s="4" t="n">
        <v>0.3</v>
      </c>
      <c r="J6" s="4" t="n">
        <v>0.3</v>
      </c>
      <c r="K6" s="4" t="n">
        <v>0.75</v>
      </c>
      <c r="L6" s="4" t="n">
        <v>0.8</v>
      </c>
      <c r="M6" s="4" t="n">
        <v>0.8</v>
      </c>
      <c r="N6" s="4" t="n">
        <v>-7</v>
      </c>
      <c r="O6" s="4" t="n">
        <v>-7.13</v>
      </c>
      <c r="P6" s="4" t="n">
        <v>-7.1</v>
      </c>
      <c r="Q6" s="4" t="n">
        <v>-6.4</v>
      </c>
      <c r="R6" s="4" t="n">
        <v>-6.51</v>
      </c>
      <c r="S6" s="4" t="n">
        <v>-6.52</v>
      </c>
    </row>
    <row r="7">
      <c r="A7" s="3" t="inlineStr">
        <is>
          <t>2ITY</t>
        </is>
      </c>
      <c r="B7" s="3" t="inlineStr">
        <is>
          <t>Gefitinib</t>
        </is>
      </c>
      <c r="C7" s="3" t="inlineStr">
        <is>
          <t>EGFR</t>
        </is>
      </c>
      <c r="D7" s="3" t="inlineStr"/>
      <c r="E7" s="3" t="n">
        <v>5</v>
      </c>
      <c r="F7" s="3" t="n">
        <v>5</v>
      </c>
      <c r="G7" s="3" t="n">
        <v>5</v>
      </c>
      <c r="H7" s="4" t="n">
        <v>0.3</v>
      </c>
      <c r="I7" s="4" t="n">
        <v>0.3</v>
      </c>
      <c r="J7" s="4" t="n">
        <v>0.3</v>
      </c>
      <c r="K7" s="4" t="n">
        <v>0.35</v>
      </c>
      <c r="L7" s="4" t="n">
        <v>0.35</v>
      </c>
      <c r="M7" s="4" t="n">
        <v>0.35</v>
      </c>
      <c r="N7" s="4" t="n">
        <v>-6.05</v>
      </c>
      <c r="O7" s="4" t="n">
        <v>-6.01</v>
      </c>
      <c r="P7" s="4" t="n">
        <v>-6.03</v>
      </c>
      <c r="Q7" s="4" t="n">
        <v>-5.77</v>
      </c>
      <c r="R7" s="4" t="n">
        <v>-5.74</v>
      </c>
      <c r="S7" s="4" t="n">
        <v>-5.77</v>
      </c>
    </row>
    <row r="8">
      <c r="A8" s="3" t="inlineStr">
        <is>
          <t>2ITZ</t>
        </is>
      </c>
      <c r="B8" s="3" t="inlineStr">
        <is>
          <t>Gefitinib</t>
        </is>
      </c>
      <c r="C8" s="3" t="inlineStr">
        <is>
          <t>EGFR</t>
        </is>
      </c>
      <c r="D8" s="3" t="inlineStr"/>
      <c r="E8" s="3" t="n">
        <v>5</v>
      </c>
      <c r="F8" s="3" t="n">
        <v>5</v>
      </c>
      <c r="G8" s="3" t="n">
        <v>5</v>
      </c>
      <c r="H8" s="4" t="n">
        <v>0.3</v>
      </c>
      <c r="I8" s="4" t="n">
        <v>0.3</v>
      </c>
      <c r="J8" s="4" t="n">
        <v>0.3</v>
      </c>
      <c r="K8" s="4" t="n">
        <v>0.64</v>
      </c>
      <c r="L8" s="4" t="n">
        <v>0.65</v>
      </c>
      <c r="M8" s="4" t="n">
        <v>0.66</v>
      </c>
      <c r="N8" s="4" t="n">
        <v>-4.69</v>
      </c>
      <c r="O8" s="4" t="n">
        <v>-4.98</v>
      </c>
      <c r="P8" s="4" t="n">
        <v>-4.95</v>
      </c>
      <c r="Q8" s="4" t="n">
        <v>-4.15</v>
      </c>
      <c r="R8" s="4" t="n">
        <v>-4.45</v>
      </c>
      <c r="S8" s="4" t="n">
        <v>-4.38</v>
      </c>
    </row>
    <row r="9">
      <c r="A9" s="3" t="inlineStr">
        <is>
          <t>2WGJ</t>
        </is>
      </c>
      <c r="B9" s="3" t="inlineStr">
        <is>
          <t>Crizotinib</t>
        </is>
      </c>
      <c r="C9" s="3" t="inlineStr">
        <is>
          <t>MET</t>
        </is>
      </c>
      <c r="D9" s="3" t="inlineStr"/>
      <c r="E9" s="3" t="n">
        <v>5</v>
      </c>
      <c r="F9" s="3" t="n">
        <v>4</v>
      </c>
      <c r="G9" s="3" t="n">
        <v>4</v>
      </c>
      <c r="H9" s="4" t="n">
        <v>1.61</v>
      </c>
      <c r="I9" s="4" t="n">
        <v>1.61</v>
      </c>
      <c r="J9" s="4" t="n">
        <v>1.61</v>
      </c>
      <c r="K9" s="4" t="n">
        <v>0.96</v>
      </c>
      <c r="L9" s="4" t="n">
        <v>0.96</v>
      </c>
      <c r="M9" s="4" t="n">
        <v>0.97</v>
      </c>
      <c r="N9" s="4" t="n">
        <v>7</v>
      </c>
      <c r="O9" s="4" t="n">
        <v>7.02</v>
      </c>
      <c r="P9" s="4" t="n">
        <v>7.05</v>
      </c>
      <c r="Q9" s="4" t="n">
        <v>7.71</v>
      </c>
      <c r="R9" s="4" t="n">
        <v>7.74</v>
      </c>
      <c r="S9" s="4" t="n">
        <v>7.78</v>
      </c>
    </row>
    <row r="10">
      <c r="A10" s="3" t="inlineStr">
        <is>
          <t>2XP2</t>
        </is>
      </c>
      <c r="B10" s="3" t="inlineStr">
        <is>
          <t>Crizotinib</t>
        </is>
      </c>
      <c r="C10" s="3" t="inlineStr">
        <is>
          <t>ALK</t>
        </is>
      </c>
      <c r="D10" s="3" t="inlineStr"/>
      <c r="E10" s="3" t="n">
        <v>4</v>
      </c>
      <c r="F10" s="3" t="n">
        <v>4</v>
      </c>
      <c r="G10" s="3" t="n">
        <v>4</v>
      </c>
      <c r="H10" s="4" t="n">
        <v>1.61</v>
      </c>
      <c r="I10" s="4" t="n">
        <v>1.61</v>
      </c>
      <c r="J10" s="4" t="n">
        <v>1.61</v>
      </c>
      <c r="K10" s="4" t="n">
        <v>1</v>
      </c>
      <c r="L10" s="4" t="n">
        <v>1</v>
      </c>
      <c r="M10" s="4" t="n">
        <v>1</v>
      </c>
      <c r="N10" s="4" t="n">
        <v>-5.51</v>
      </c>
      <c r="O10" s="4" t="n">
        <v>-5.96</v>
      </c>
      <c r="P10" s="4" t="n">
        <v>-5.92</v>
      </c>
      <c r="Q10" s="4" t="n">
        <v>-4.58</v>
      </c>
      <c r="R10" s="4" t="n">
        <v>-5.01</v>
      </c>
      <c r="S10" s="4" t="n">
        <v>-4.99</v>
      </c>
    </row>
    <row r="11">
      <c r="A11" s="3" t="inlineStr">
        <is>
          <t>2YFX</t>
        </is>
      </c>
      <c r="B11" s="3" t="inlineStr">
        <is>
          <t>Crizotinib</t>
        </is>
      </c>
      <c r="C11" s="3" t="inlineStr">
        <is>
          <t>ALK</t>
        </is>
      </c>
      <c r="D11" s="3" t="inlineStr"/>
      <c r="E11" s="3" t="n">
        <v>5</v>
      </c>
      <c r="F11" s="3" t="n">
        <v>4</v>
      </c>
      <c r="G11" s="3" t="n">
        <v>4</v>
      </c>
      <c r="H11" s="4" t="n">
        <v>1.61</v>
      </c>
      <c r="I11" s="4" t="n">
        <v>1.61</v>
      </c>
      <c r="J11" s="4" t="n">
        <v>1.61</v>
      </c>
      <c r="K11" s="4" t="n">
        <v>1</v>
      </c>
      <c r="L11" s="4" t="n">
        <v>1</v>
      </c>
      <c r="M11" s="4" t="n">
        <v>1</v>
      </c>
      <c r="N11" s="4" t="n">
        <v>-4.59</v>
      </c>
      <c r="O11" s="4" t="n">
        <v>-4.59</v>
      </c>
      <c r="P11" s="4" t="n">
        <v>-4.59</v>
      </c>
      <c r="Q11" s="4" t="n">
        <v>-3.59</v>
      </c>
      <c r="R11" s="4" t="n">
        <v>-3.62</v>
      </c>
      <c r="S11" s="4" t="n">
        <v>-3.61</v>
      </c>
    </row>
    <row r="12">
      <c r="A12" s="3" t="inlineStr">
        <is>
          <t>3AOX</t>
        </is>
      </c>
      <c r="B12" s="3" t="inlineStr">
        <is>
          <t>Alectinib</t>
        </is>
      </c>
      <c r="C12" s="3" t="inlineStr">
        <is>
          <t>ALK</t>
        </is>
      </c>
      <c r="D12" s="3" t="inlineStr"/>
      <c r="E12" s="3" t="n">
        <v>2</v>
      </c>
      <c r="F12" s="3" t="n">
        <v>2</v>
      </c>
      <c r="G12" s="3" t="n">
        <v>3</v>
      </c>
      <c r="H12" s="4" t="n">
        <v>0.5600000000000001</v>
      </c>
      <c r="I12" s="4" t="n">
        <v>0.5600000000000001</v>
      </c>
      <c r="J12" s="4" t="n">
        <v>0.5600000000000001</v>
      </c>
      <c r="K12" s="4" t="n">
        <v>0.79</v>
      </c>
      <c r="L12" s="4" t="n">
        <v>0.9</v>
      </c>
      <c r="M12" s="4" t="n">
        <v>0.79</v>
      </c>
      <c r="N12" s="4" t="n">
        <v>-8.4</v>
      </c>
      <c r="O12" s="4" t="n">
        <v>-8.369999999999999</v>
      </c>
      <c r="P12" s="4" t="n">
        <v>-8.359999999999999</v>
      </c>
      <c r="Q12" s="4" t="n">
        <v>-7.65</v>
      </c>
      <c r="R12" s="4" t="n">
        <v>-7.5</v>
      </c>
      <c r="S12" s="4" t="n">
        <v>-7.63</v>
      </c>
    </row>
    <row r="13">
      <c r="A13" s="3" t="inlineStr">
        <is>
          <t>3CS9</t>
        </is>
      </c>
      <c r="B13" s="3" t="inlineStr">
        <is>
          <t>Nilotinib</t>
        </is>
      </c>
      <c r="C13" s="3" t="inlineStr">
        <is>
          <t>ABL</t>
        </is>
      </c>
      <c r="D13" s="3" t="inlineStr"/>
      <c r="E13" s="3" t="n">
        <v>3</v>
      </c>
      <c r="F13" s="3" t="n">
        <v>3</v>
      </c>
      <c r="G13" s="3" t="n">
        <v>4</v>
      </c>
      <c r="H13" s="4" t="n">
        <v>0.09</v>
      </c>
      <c r="I13" s="4" t="n">
        <v>0.09</v>
      </c>
      <c r="J13" s="4" t="n">
        <v>0.09</v>
      </c>
      <c r="K13" s="4" t="n">
        <v>0.42</v>
      </c>
      <c r="L13" s="4" t="n">
        <v>0.63</v>
      </c>
      <c r="M13" s="4" t="n">
        <v>0.19</v>
      </c>
      <c r="N13" s="4" t="n">
        <v>-4.62</v>
      </c>
      <c r="O13" s="4" t="n">
        <v>-4.58</v>
      </c>
      <c r="P13" s="4" t="n">
        <v>-4.61</v>
      </c>
      <c r="Q13" s="4" t="n">
        <v>-4.24</v>
      </c>
      <c r="R13" s="4" t="n">
        <v>-3.98</v>
      </c>
      <c r="S13" s="4" t="n">
        <v>-4.42</v>
      </c>
    </row>
    <row r="14">
      <c r="A14" s="3" t="inlineStr">
        <is>
          <t>3LXK</t>
        </is>
      </c>
      <c r="B14" s="3" t="inlineStr">
        <is>
          <t>Tofacitinib</t>
        </is>
      </c>
      <c r="C14" s="3" t="inlineStr">
        <is>
          <t>JAK3</t>
        </is>
      </c>
      <c r="D14" s="3" t="inlineStr"/>
      <c r="E14" s="3" t="n">
        <v>5</v>
      </c>
      <c r="F14" s="3" t="n">
        <v>5</v>
      </c>
      <c r="G14" s="3" t="n">
        <v>5</v>
      </c>
      <c r="H14" s="4" t="n">
        <v>0.03</v>
      </c>
      <c r="I14" s="4" t="n">
        <v>0.03</v>
      </c>
      <c r="J14" s="4" t="n">
        <v>0.03</v>
      </c>
      <c r="K14" s="4" t="n">
        <v>0.05</v>
      </c>
      <c r="L14" s="4" t="n">
        <v>0.04</v>
      </c>
      <c r="M14" s="4" t="n">
        <v>0.05</v>
      </c>
      <c r="N14" s="4" t="n">
        <v>1.14</v>
      </c>
      <c r="O14" s="4" t="n">
        <v>1.29</v>
      </c>
      <c r="P14" s="4" t="n">
        <v>1.1</v>
      </c>
      <c r="Q14" s="4" t="n">
        <v>1.29</v>
      </c>
      <c r="R14" s="4" t="n">
        <v>1.4</v>
      </c>
      <c r="S14" s="4" t="n">
        <v>1.22</v>
      </c>
    </row>
    <row r="15">
      <c r="A15" s="3" t="inlineStr">
        <is>
          <t>3PYY</t>
        </is>
      </c>
      <c r="B15" s="3" t="inlineStr">
        <is>
          <t>Imatinib</t>
        </is>
      </c>
      <c r="C15" s="3" t="inlineStr">
        <is>
          <t>ABL</t>
        </is>
      </c>
      <c r="D15" s="3" t="inlineStr"/>
      <c r="E15" s="3" t="n">
        <v>5</v>
      </c>
      <c r="F15" s="3" t="n">
        <v>5</v>
      </c>
      <c r="G15" s="3" t="n">
        <v>5</v>
      </c>
      <c r="H15" s="4" t="n">
        <v>0.97</v>
      </c>
      <c r="I15" s="4" t="n">
        <v>0.97</v>
      </c>
      <c r="J15" s="4" t="n">
        <v>0.97</v>
      </c>
      <c r="K15" s="4" t="n">
        <v>1</v>
      </c>
      <c r="L15" s="4" t="n">
        <v>1</v>
      </c>
      <c r="M15" s="4" t="n">
        <v>1</v>
      </c>
      <c r="N15" s="4" t="n">
        <v>-4.8</v>
      </c>
      <c r="O15" s="4" t="n">
        <v>-4.81</v>
      </c>
      <c r="P15" s="4" t="n">
        <v>-4.81</v>
      </c>
      <c r="Q15" s="4" t="n">
        <v>-3.84</v>
      </c>
      <c r="R15" s="4" t="n">
        <v>-3.86</v>
      </c>
      <c r="S15" s="4" t="n">
        <v>-3.86</v>
      </c>
    </row>
    <row r="16">
      <c r="A16" s="3" t="inlineStr">
        <is>
          <t>3UE4</t>
        </is>
      </c>
      <c r="B16" s="3" t="inlineStr">
        <is>
          <t>Bosutinib</t>
        </is>
      </c>
      <c r="C16" s="3" t="inlineStr">
        <is>
          <t>ABL</t>
        </is>
      </c>
      <c r="D16" s="3" t="inlineStr"/>
      <c r="E16" s="3" t="n">
        <v>4</v>
      </c>
      <c r="F16" s="3" t="n">
        <v>4</v>
      </c>
      <c r="G16" s="3" t="n">
        <v>4</v>
      </c>
      <c r="H16" s="4" t="n">
        <v>0.9399999999999999</v>
      </c>
      <c r="I16" s="4" t="n">
        <v>0.9399999999999999</v>
      </c>
      <c r="J16" s="4" t="n">
        <v>0.9399999999999999</v>
      </c>
      <c r="K16" s="4" t="n">
        <v>0.95</v>
      </c>
      <c r="L16" s="4" t="n">
        <v>0.95</v>
      </c>
      <c r="M16" s="4" t="n">
        <v>0.95</v>
      </c>
      <c r="N16" s="4" t="n">
        <v>-4.57</v>
      </c>
      <c r="O16" s="4" t="n">
        <v>-4.65</v>
      </c>
      <c r="P16" s="4" t="n">
        <v>-4.52</v>
      </c>
      <c r="Q16" s="4" t="n">
        <v>-3.93</v>
      </c>
      <c r="R16" s="4" t="n">
        <v>-4.01</v>
      </c>
      <c r="S16" s="4" t="n">
        <v>-3.88</v>
      </c>
    </row>
    <row r="17">
      <c r="A17" s="3" t="inlineStr">
        <is>
          <t>3UG2</t>
        </is>
      </c>
      <c r="B17" s="3" t="inlineStr">
        <is>
          <t>Gefitinib</t>
        </is>
      </c>
      <c r="C17" s="3" t="inlineStr">
        <is>
          <t>EGFR</t>
        </is>
      </c>
      <c r="D17" s="3" t="inlineStr"/>
      <c r="E17" s="3" t="n">
        <v>5</v>
      </c>
      <c r="F17" s="3" t="n">
        <v>5</v>
      </c>
      <c r="G17" s="3" t="n">
        <v>5</v>
      </c>
      <c r="H17" s="4" t="n">
        <v>0.3</v>
      </c>
      <c r="I17" s="4" t="n">
        <v>0.3</v>
      </c>
      <c r="J17" s="4" t="n">
        <v>0.3</v>
      </c>
      <c r="K17" s="4" t="n">
        <v>0</v>
      </c>
      <c r="L17" s="4" t="n">
        <v>0.01</v>
      </c>
      <c r="M17" s="4" t="n">
        <v>0.01</v>
      </c>
      <c r="N17" s="4" t="n">
        <v>-2.99</v>
      </c>
      <c r="O17" s="4" t="n">
        <v>-3.03</v>
      </c>
      <c r="P17" s="4" t="n">
        <v>-3.01</v>
      </c>
      <c r="Q17" s="4" t="n">
        <v>-2.95</v>
      </c>
      <c r="R17" s="4" t="n">
        <v>-2.96</v>
      </c>
      <c r="S17" s="4" t="n">
        <v>-2.92</v>
      </c>
    </row>
    <row r="18">
      <c r="A18" s="3" t="inlineStr">
        <is>
          <t>3WZD</t>
        </is>
      </c>
      <c r="B18" s="3" t="inlineStr">
        <is>
          <t>Lenvatinib</t>
        </is>
      </c>
      <c r="C18" s="3" t="inlineStr">
        <is>
          <t>VEGFR</t>
        </is>
      </c>
      <c r="D18" s="3" t="inlineStr"/>
      <c r="E18" s="3" t="n">
        <v>3</v>
      </c>
      <c r="F18" s="3" t="n">
        <v>3</v>
      </c>
      <c r="G18" s="3" t="n">
        <v>3</v>
      </c>
      <c r="H18" s="4" t="n">
        <v>-0</v>
      </c>
      <c r="I18" s="4" t="n">
        <v>-0</v>
      </c>
      <c r="J18" s="4" t="n">
        <v>-0</v>
      </c>
      <c r="K18" s="4" t="n">
        <v>-0</v>
      </c>
      <c r="L18" s="4" t="n">
        <v>-0</v>
      </c>
      <c r="M18" s="4" t="n">
        <v>-0</v>
      </c>
      <c r="N18" s="4" t="n">
        <v>1.61</v>
      </c>
      <c r="O18" s="4" t="n">
        <v>1.54</v>
      </c>
      <c r="P18" s="4" t="n">
        <v>1.53</v>
      </c>
      <c r="Q18" s="4" t="n">
        <v>1.63</v>
      </c>
      <c r="R18" s="4" t="n">
        <v>1.57</v>
      </c>
      <c r="S18" s="4" t="n">
        <v>1.54</v>
      </c>
    </row>
    <row r="19">
      <c r="A19" s="3" t="inlineStr">
        <is>
          <t>3WZE</t>
        </is>
      </c>
      <c r="B19" s="3" t="inlineStr">
        <is>
          <t>Sorafenib</t>
        </is>
      </c>
      <c r="C19" s="3" t="inlineStr">
        <is>
          <t>VEGFR</t>
        </is>
      </c>
      <c r="D19" s="3" t="inlineStr"/>
      <c r="E19" s="3" t="n">
        <v>4</v>
      </c>
      <c r="F19" s="3" t="n">
        <v>4</v>
      </c>
      <c r="G19" s="3" t="n">
        <v>4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5.58</v>
      </c>
      <c r="O19" s="4" t="n">
        <v>5.44</v>
      </c>
      <c r="P19" s="4" t="n">
        <v>5.51</v>
      </c>
      <c r="Q19" s="4" t="n">
        <v>5.59</v>
      </c>
      <c r="R19" s="4" t="n">
        <v>5.42</v>
      </c>
      <c r="S19" s="4" t="n">
        <v>5.5</v>
      </c>
    </row>
    <row r="20">
      <c r="A20" s="3" t="inlineStr">
        <is>
          <t>3ZOS</t>
        </is>
      </c>
      <c r="B20" s="3" t="inlineStr">
        <is>
          <t>Ponatinib</t>
        </is>
      </c>
      <c r="C20" s="3" t="inlineStr">
        <is>
          <t>DDR1</t>
        </is>
      </c>
      <c r="D20" s="3" t="inlineStr">
        <is>
          <t>buried</t>
        </is>
      </c>
      <c r="E20" s="3" t="n">
        <v>6</v>
      </c>
      <c r="F20" s="3" t="n">
        <v>6</v>
      </c>
      <c r="G20" s="3" t="n">
        <v>7</v>
      </c>
      <c r="H20" s="4" t="n">
        <v>0.96</v>
      </c>
      <c r="I20" s="4" t="n">
        <v>0.96</v>
      </c>
      <c r="J20" s="4" t="n">
        <v>0.96</v>
      </c>
      <c r="K20" s="4" t="n">
        <v>1</v>
      </c>
      <c r="L20" s="4" t="n">
        <v>1</v>
      </c>
      <c r="M20" s="4" t="n">
        <v>1</v>
      </c>
      <c r="N20" s="4" t="n">
        <v>-1.64</v>
      </c>
      <c r="O20" s="4" t="n">
        <v>-1.64</v>
      </c>
      <c r="P20" s="4" t="n">
        <v>-1.66</v>
      </c>
      <c r="Q20" s="4" t="n">
        <v>0.21</v>
      </c>
      <c r="R20" s="4" t="n">
        <v>0.21</v>
      </c>
      <c r="S20" s="4" t="n">
        <v>0.19</v>
      </c>
    </row>
    <row r="21">
      <c r="A21" s="3" t="inlineStr">
        <is>
          <t>3ZOS</t>
        </is>
      </c>
      <c r="B21" s="3" t="inlineStr">
        <is>
          <t>Ponatinib</t>
        </is>
      </c>
      <c r="C21" s="3" t="inlineStr">
        <is>
          <t>DDR1</t>
        </is>
      </c>
      <c r="D21" s="3" t="inlineStr">
        <is>
          <t>surface</t>
        </is>
      </c>
      <c r="E21" s="3" t="n">
        <v>6</v>
      </c>
      <c r="F21" s="3" t="n">
        <v>6</v>
      </c>
      <c r="G21" s="3" t="n">
        <v>7</v>
      </c>
      <c r="H21" s="4" t="n">
        <v>0.96</v>
      </c>
      <c r="I21" s="4" t="n">
        <v>0.96</v>
      </c>
      <c r="J21" s="4" t="n">
        <v>0.96</v>
      </c>
      <c r="K21" s="4" t="n">
        <v>0.9</v>
      </c>
      <c r="L21" s="4" t="n">
        <v>0.9</v>
      </c>
      <c r="M21" s="4" t="n">
        <v>0.89</v>
      </c>
      <c r="N21" s="4" t="n">
        <v>-1.64</v>
      </c>
      <c r="O21" s="4" t="n">
        <v>-1.64</v>
      </c>
      <c r="P21" s="4" t="n">
        <v>-1.66</v>
      </c>
      <c r="Q21" s="4" t="n">
        <v>0.21</v>
      </c>
      <c r="R21" s="4" t="n">
        <v>0.21</v>
      </c>
      <c r="S21" s="4" t="n">
        <v>0.19</v>
      </c>
    </row>
    <row r="22">
      <c r="A22" s="3" t="inlineStr">
        <is>
          <t>4AG8</t>
        </is>
      </c>
      <c r="B22" s="3" t="inlineStr">
        <is>
          <t>Axitinib</t>
        </is>
      </c>
      <c r="C22" s="3" t="inlineStr">
        <is>
          <t>VEGFR</t>
        </is>
      </c>
      <c r="D22" s="3" t="inlineStr"/>
      <c r="E22" s="3" t="n">
        <v>4</v>
      </c>
      <c r="F22" s="3" t="n">
        <v>3</v>
      </c>
      <c r="G22" s="3" t="n">
        <v>3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4.59</v>
      </c>
      <c r="O22" s="4" t="n">
        <v>4.57</v>
      </c>
      <c r="P22" s="4" t="n">
        <v>4.58</v>
      </c>
      <c r="Q22" s="4" t="n">
        <v>4.62</v>
      </c>
      <c r="R22" s="4" t="n">
        <v>4.6</v>
      </c>
      <c r="S22" s="4" t="n">
        <v>4.62</v>
      </c>
    </row>
    <row r="23">
      <c r="A23" s="3" t="inlineStr">
        <is>
          <t>4AGC</t>
        </is>
      </c>
      <c r="B23" s="3" t="inlineStr">
        <is>
          <t>Axitinib</t>
        </is>
      </c>
      <c r="C23" s="3" t="inlineStr">
        <is>
          <t>VEGFR</t>
        </is>
      </c>
      <c r="D23" s="3" t="inlineStr"/>
      <c r="E23" s="3" t="n">
        <v>3</v>
      </c>
      <c r="F23" s="3" t="n">
        <v>3</v>
      </c>
      <c r="G23" s="3" t="n">
        <v>3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3.43</v>
      </c>
      <c r="O23" s="4" t="n">
        <v>3.55</v>
      </c>
      <c r="P23" s="4" t="n">
        <v>3.5</v>
      </c>
      <c r="Q23" s="4" t="n">
        <v>3.45</v>
      </c>
      <c r="R23" s="4" t="n">
        <v>3.55</v>
      </c>
      <c r="S23" s="4" t="n">
        <v>3.5</v>
      </c>
    </row>
    <row r="24">
      <c r="A24" s="3" t="inlineStr">
        <is>
          <t>4AGD</t>
        </is>
      </c>
      <c r="B24" s="3" t="inlineStr">
        <is>
          <t>Sunitinib</t>
        </is>
      </c>
      <c r="C24" s="3" t="inlineStr">
        <is>
          <t>VEGFR</t>
        </is>
      </c>
      <c r="D24" s="3" t="inlineStr"/>
      <c r="E24" s="3" t="n">
        <v>4</v>
      </c>
      <c r="F24" s="3" t="n">
        <v>5</v>
      </c>
      <c r="G24" s="3" t="n">
        <v>5</v>
      </c>
      <c r="H24" s="4" t="n">
        <v>0.99</v>
      </c>
      <c r="I24" s="4" t="n">
        <v>0.99</v>
      </c>
      <c r="J24" s="4" t="n">
        <v>0.99</v>
      </c>
      <c r="K24" s="4" t="n">
        <v>0.89</v>
      </c>
      <c r="L24" s="4" t="n">
        <v>0.92</v>
      </c>
      <c r="M24" s="4" t="n">
        <v>0.89</v>
      </c>
      <c r="N24" s="4" t="n">
        <v>2.53</v>
      </c>
      <c r="O24" s="4" t="n">
        <v>2.54</v>
      </c>
      <c r="P24" s="4" t="n">
        <v>2.53</v>
      </c>
      <c r="Q24" s="4" t="n">
        <v>3.33</v>
      </c>
      <c r="R24" s="4" t="n">
        <v>3.38</v>
      </c>
      <c r="S24" s="4" t="n">
        <v>3.31</v>
      </c>
    </row>
    <row r="25">
      <c r="A25" s="3" t="inlineStr">
        <is>
          <t>4AN2</t>
        </is>
      </c>
      <c r="B25" s="3" t="inlineStr">
        <is>
          <t>Cobimetinib</t>
        </is>
      </c>
      <c r="C25" s="3" t="inlineStr">
        <is>
          <t>MEK</t>
        </is>
      </c>
      <c r="D25" s="3" t="inlineStr"/>
      <c r="E25" s="3" t="n">
        <v>7</v>
      </c>
      <c r="F25" s="3" t="n">
        <v>6</v>
      </c>
      <c r="G25" s="3" t="n">
        <v>6</v>
      </c>
      <c r="H25" s="4" t="n">
        <v>0.99</v>
      </c>
      <c r="I25" s="4" t="n">
        <v>0.99</v>
      </c>
      <c r="J25" s="4" t="n">
        <v>0.99</v>
      </c>
      <c r="K25" s="4" t="n">
        <v>0.23</v>
      </c>
      <c r="L25" s="4" t="n">
        <v>0.22</v>
      </c>
      <c r="M25" s="4" t="n">
        <v>0.22</v>
      </c>
      <c r="N25" s="4" t="n">
        <v>-3.47</v>
      </c>
      <c r="O25" s="4" t="n">
        <v>-3.53</v>
      </c>
      <c r="P25" s="4" t="n">
        <v>-3.55</v>
      </c>
      <c r="Q25" s="4" t="n">
        <v>-3.41</v>
      </c>
      <c r="R25" s="4" t="n">
        <v>-3.46</v>
      </c>
      <c r="S25" s="4" t="n">
        <v>-3.46</v>
      </c>
    </row>
    <row r="26">
      <c r="A26" s="3" t="inlineStr">
        <is>
          <t>4ANQ</t>
        </is>
      </c>
      <c r="B26" s="3" t="inlineStr">
        <is>
          <t>Crizotinib</t>
        </is>
      </c>
      <c r="C26" s="3" t="inlineStr">
        <is>
          <t>ALK</t>
        </is>
      </c>
      <c r="D26" s="3" t="inlineStr"/>
      <c r="E26" s="3" t="n">
        <v>4</v>
      </c>
      <c r="F26" s="3" t="n">
        <v>4</v>
      </c>
      <c r="G26" s="3" t="n">
        <v>4</v>
      </c>
      <c r="H26" s="4" t="n">
        <v>1.61</v>
      </c>
      <c r="I26" s="4" t="n">
        <v>1.61</v>
      </c>
      <c r="J26" s="4" t="n">
        <v>1.61</v>
      </c>
      <c r="K26" s="4" t="n">
        <v>1</v>
      </c>
      <c r="L26" s="4" t="n">
        <v>1</v>
      </c>
      <c r="M26" s="4" t="n">
        <v>1</v>
      </c>
      <c r="N26" s="4" t="n">
        <v>-5.99</v>
      </c>
      <c r="O26" s="4" t="n">
        <v>-5.41</v>
      </c>
      <c r="P26" s="4" t="n">
        <v>-5.43</v>
      </c>
      <c r="Q26" s="4" t="n">
        <v>-5.03</v>
      </c>
      <c r="R26" s="4" t="n">
        <v>-4.46</v>
      </c>
      <c r="S26" s="4" t="n">
        <v>-4.49</v>
      </c>
    </row>
    <row r="27">
      <c r="A27" s="3" t="inlineStr">
        <is>
          <t>4ANS</t>
        </is>
      </c>
      <c r="B27" s="3" t="inlineStr">
        <is>
          <t>Crizotinib</t>
        </is>
      </c>
      <c r="C27" s="3" t="inlineStr">
        <is>
          <t>ALK</t>
        </is>
      </c>
      <c r="D27" s="3" t="inlineStr"/>
      <c r="E27" s="3" t="n">
        <v>5</v>
      </c>
      <c r="F27" s="3" t="n">
        <v>4</v>
      </c>
      <c r="G27" s="3" t="n">
        <v>4</v>
      </c>
      <c r="H27" s="4" t="n">
        <v>1.61</v>
      </c>
      <c r="I27" s="4" t="n">
        <v>1.61</v>
      </c>
      <c r="J27" s="4" t="n">
        <v>1.61</v>
      </c>
      <c r="K27" s="4" t="n">
        <v>1</v>
      </c>
      <c r="L27" s="4" t="n">
        <v>1</v>
      </c>
      <c r="M27" s="4" t="n">
        <v>1</v>
      </c>
      <c r="N27" s="4" t="n">
        <v>-5.91</v>
      </c>
      <c r="O27" s="4" t="n">
        <v>-5.36</v>
      </c>
      <c r="P27" s="4" t="n">
        <v>-5.93</v>
      </c>
      <c r="Q27" s="4" t="n">
        <v>-4.95</v>
      </c>
      <c r="R27" s="4" t="n">
        <v>-4.41</v>
      </c>
      <c r="S27" s="4" t="n">
        <v>-4.99</v>
      </c>
    </row>
    <row r="28">
      <c r="A28" s="3" t="inlineStr">
        <is>
          <t>4ASD</t>
        </is>
      </c>
      <c r="B28" s="3" t="inlineStr">
        <is>
          <t>Sorafenib</t>
        </is>
      </c>
      <c r="C28" s="3" t="inlineStr">
        <is>
          <t>VEGFR</t>
        </is>
      </c>
      <c r="D28" s="3" t="inlineStr"/>
      <c r="E28" s="3" t="n">
        <v>4</v>
      </c>
      <c r="F28" s="3" t="n">
        <v>4</v>
      </c>
      <c r="G28" s="3" t="n">
        <v>4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  <c r="N28" s="4" t="n">
        <v>0.26</v>
      </c>
      <c r="O28" s="4" t="n">
        <v>0.12</v>
      </c>
      <c r="P28" s="4" t="n">
        <v>0.29</v>
      </c>
      <c r="Q28" s="4" t="n">
        <v>0.28</v>
      </c>
      <c r="R28" s="4" t="n">
        <v>0.12</v>
      </c>
      <c r="S28" s="4" t="n">
        <v>0.27</v>
      </c>
    </row>
    <row r="29">
      <c r="A29" s="3" t="inlineStr">
        <is>
          <t>4G5J</t>
        </is>
      </c>
      <c r="B29" s="3" t="inlineStr">
        <is>
          <t>Afatinib</t>
        </is>
      </c>
      <c r="C29" s="3" t="inlineStr">
        <is>
          <t>EGFR</t>
        </is>
      </c>
      <c r="D29" s="3" t="inlineStr"/>
      <c r="E29" s="3" t="n">
        <v>3</v>
      </c>
      <c r="F29" s="3" t="n">
        <v>3</v>
      </c>
      <c r="G29" s="3" t="n">
        <v>3</v>
      </c>
      <c r="H29" s="4" t="n">
        <v>0.99</v>
      </c>
      <c r="I29" s="4" t="n">
        <v>0.99</v>
      </c>
      <c r="J29" s="4" t="n">
        <v>0.99</v>
      </c>
      <c r="K29" s="4" t="n">
        <v>0.95</v>
      </c>
      <c r="L29" s="4" t="n">
        <v>0.9399999999999999</v>
      </c>
      <c r="M29" s="4" t="n">
        <v>0.95</v>
      </c>
      <c r="N29" s="4" t="n">
        <v>-6.45</v>
      </c>
      <c r="O29" s="4" t="n">
        <v>-6.54</v>
      </c>
      <c r="P29" s="4" t="n">
        <v>-6.42</v>
      </c>
      <c r="Q29" s="4" t="n">
        <v>-5.63</v>
      </c>
      <c r="R29" s="4" t="n">
        <v>-5.69</v>
      </c>
      <c r="S29" s="4" t="n">
        <v>-5.64</v>
      </c>
    </row>
    <row r="30">
      <c r="A30" s="3" t="inlineStr">
        <is>
          <t>4G5P</t>
        </is>
      </c>
      <c r="B30" s="3" t="inlineStr">
        <is>
          <t>Afatinib</t>
        </is>
      </c>
      <c r="C30" s="3" t="inlineStr">
        <is>
          <t>EGFR</t>
        </is>
      </c>
      <c r="D30" s="3" t="inlineStr"/>
      <c r="E30" s="3" t="n">
        <v>3</v>
      </c>
      <c r="F30" s="3" t="n">
        <v>3</v>
      </c>
      <c r="G30" s="3" t="n">
        <v>3</v>
      </c>
      <c r="H30" s="4" t="n">
        <v>0.99</v>
      </c>
      <c r="I30" s="4" t="n">
        <v>0.99</v>
      </c>
      <c r="J30" s="4" t="n">
        <v>0.99</v>
      </c>
      <c r="K30" s="4" t="n">
        <v>0.96</v>
      </c>
      <c r="L30" s="4" t="n">
        <v>0.96</v>
      </c>
      <c r="M30" s="4" t="n">
        <v>0.96</v>
      </c>
      <c r="N30" s="4" t="n">
        <v>-0.65</v>
      </c>
      <c r="O30" s="4" t="n">
        <v>-0.57</v>
      </c>
      <c r="P30" s="4" t="n">
        <v>-0.62</v>
      </c>
      <c r="Q30" s="4" t="n">
        <v>0.01</v>
      </c>
      <c r="R30" s="4" t="n">
        <v>0.05</v>
      </c>
      <c r="S30" s="4" t="n">
        <v>0.03</v>
      </c>
    </row>
    <row r="31">
      <c r="A31" s="3" t="inlineStr">
        <is>
          <t>4I22</t>
        </is>
      </c>
      <c r="B31" s="3" t="inlineStr">
        <is>
          <t>Gefitinib</t>
        </is>
      </c>
      <c r="C31" s="3" t="inlineStr">
        <is>
          <t>EGFR</t>
        </is>
      </c>
      <c r="D31" s="3" t="inlineStr"/>
      <c r="E31" s="3" t="n">
        <v>5</v>
      </c>
      <c r="F31" s="3" t="n">
        <v>5</v>
      </c>
      <c r="G31" s="3" t="n">
        <v>5</v>
      </c>
      <c r="H31" s="4" t="n">
        <v>0.3</v>
      </c>
      <c r="I31" s="4" t="n">
        <v>0.3</v>
      </c>
      <c r="J31" s="4" t="n">
        <v>0.3</v>
      </c>
      <c r="K31" s="4" t="n">
        <v>0.48</v>
      </c>
      <c r="L31" s="4" t="n">
        <v>0.49</v>
      </c>
      <c r="M31" s="4" t="n">
        <v>0.52</v>
      </c>
      <c r="N31" s="4" t="n">
        <v>1.95</v>
      </c>
      <c r="O31" s="4" t="n">
        <v>1.91</v>
      </c>
      <c r="P31" s="4" t="n">
        <v>1.91</v>
      </c>
      <c r="Q31" s="4" t="n">
        <v>2.41</v>
      </c>
      <c r="R31" s="4" t="n">
        <v>2.3</v>
      </c>
      <c r="S31" s="4" t="n">
        <v>2.34</v>
      </c>
    </row>
    <row r="32">
      <c r="A32" s="3" t="inlineStr">
        <is>
          <t>4LMN</t>
        </is>
      </c>
      <c r="B32" s="3" t="inlineStr">
        <is>
          <t>Cobimetinib</t>
        </is>
      </c>
      <c r="C32" s="3" t="inlineStr">
        <is>
          <t>MEK</t>
        </is>
      </c>
      <c r="D32" s="3" t="inlineStr"/>
      <c r="E32" s="3" t="n">
        <v>3</v>
      </c>
      <c r="F32" s="3" t="n">
        <v>3</v>
      </c>
      <c r="G32" s="3" t="n">
        <v>3</v>
      </c>
      <c r="H32" s="4" t="n">
        <v>0.99</v>
      </c>
      <c r="I32" s="4" t="n">
        <v>0.99</v>
      </c>
      <c r="J32" s="4" t="n">
        <v>0.99</v>
      </c>
      <c r="K32" s="4" t="n">
        <v>0.51</v>
      </c>
      <c r="L32" s="4" t="n">
        <v>0.53</v>
      </c>
      <c r="M32" s="4" t="n">
        <v>0.52</v>
      </c>
      <c r="N32" s="4" t="n">
        <v>-3.6</v>
      </c>
      <c r="O32" s="4" t="n">
        <v>-3.6</v>
      </c>
      <c r="P32" s="4" t="n">
        <v>-3.5</v>
      </c>
      <c r="Q32" s="4" t="n">
        <v>-3.12</v>
      </c>
      <c r="R32" s="4" t="n">
        <v>-3.07</v>
      </c>
      <c r="S32" s="4" t="n">
        <v>-2.98</v>
      </c>
    </row>
    <row r="33">
      <c r="A33" s="3" t="inlineStr">
        <is>
          <t>4MKC</t>
        </is>
      </c>
      <c r="B33" s="3" t="inlineStr">
        <is>
          <t>Ceritinib</t>
        </is>
      </c>
      <c r="C33" s="3" t="inlineStr">
        <is>
          <t>ALK</t>
        </is>
      </c>
      <c r="D33" s="3" t="inlineStr"/>
      <c r="E33" s="3" t="n">
        <v>3</v>
      </c>
      <c r="F33" s="3" t="n">
        <v>3</v>
      </c>
      <c r="G33" s="3" t="n">
        <v>3</v>
      </c>
      <c r="H33" s="4" t="n">
        <v>1</v>
      </c>
      <c r="I33" s="4" t="n">
        <v>1</v>
      </c>
      <c r="J33" s="4" t="n">
        <v>1</v>
      </c>
      <c r="K33" s="4" t="n">
        <v>1</v>
      </c>
      <c r="L33" s="4" t="n">
        <v>1</v>
      </c>
      <c r="M33" s="4" t="n">
        <v>1</v>
      </c>
      <c r="N33" s="4" t="n">
        <v>-4.17</v>
      </c>
      <c r="O33" s="4" t="n">
        <v>-4.18</v>
      </c>
      <c r="P33" s="4" t="n">
        <v>-3.82</v>
      </c>
      <c r="Q33" s="4" t="n">
        <v>-3.75</v>
      </c>
      <c r="R33" s="4" t="n">
        <v>-3.78</v>
      </c>
      <c r="S33" s="4" t="n">
        <v>-3.43</v>
      </c>
    </row>
    <row r="34">
      <c r="A34" s="3" t="inlineStr">
        <is>
          <t>4WKQ</t>
        </is>
      </c>
      <c r="B34" s="3" t="inlineStr">
        <is>
          <t>Gefitinib</t>
        </is>
      </c>
      <c r="C34" s="3" t="inlineStr">
        <is>
          <t>EGFR</t>
        </is>
      </c>
      <c r="D34" s="3" t="inlineStr"/>
      <c r="E34" s="3" t="n">
        <v>5</v>
      </c>
      <c r="F34" s="3" t="n">
        <v>5</v>
      </c>
      <c r="G34" s="3" t="n">
        <v>5</v>
      </c>
      <c r="H34" s="4" t="n">
        <v>0.3</v>
      </c>
      <c r="I34" s="4" t="n">
        <v>0.3</v>
      </c>
      <c r="J34" s="4" t="n">
        <v>0.3</v>
      </c>
      <c r="K34" s="4" t="n">
        <v>0.43</v>
      </c>
      <c r="L34" s="4" t="n">
        <v>0.49</v>
      </c>
      <c r="M34" s="4" t="n">
        <v>0.47</v>
      </c>
      <c r="N34" s="4" t="n">
        <v>-1.35</v>
      </c>
      <c r="O34" s="4" t="n">
        <v>-1.34</v>
      </c>
      <c r="P34" s="4" t="n">
        <v>-1.37</v>
      </c>
      <c r="Q34" s="4" t="n">
        <v>-0.95</v>
      </c>
      <c r="R34" s="4" t="n">
        <v>-0.83</v>
      </c>
      <c r="S34" s="4" t="n">
        <v>-0.91</v>
      </c>
    </row>
    <row r="35">
      <c r="A35" s="3" t="inlineStr">
        <is>
          <t>4ZAU</t>
        </is>
      </c>
      <c r="B35" s="3" t="inlineStr">
        <is>
          <t>Osimertinib</t>
        </is>
      </c>
      <c r="C35" s="3" t="inlineStr">
        <is>
          <t>EGFR</t>
        </is>
      </c>
      <c r="D35" s="3" t="inlineStr"/>
      <c r="E35" s="3" t="n">
        <v>13</v>
      </c>
      <c r="F35" s="3" t="n">
        <v>13</v>
      </c>
      <c r="G35" s="3" t="n">
        <v>13</v>
      </c>
      <c r="H35" s="4" t="n">
        <v>0.98</v>
      </c>
      <c r="I35" s="4" t="n">
        <v>0.98</v>
      </c>
      <c r="J35" s="4" t="n">
        <v>0.98</v>
      </c>
      <c r="K35" s="4" t="n">
        <v>0.99</v>
      </c>
      <c r="L35" s="4" t="n">
        <v>0.99</v>
      </c>
      <c r="M35" s="4" t="n">
        <v>0.99</v>
      </c>
      <c r="N35" s="4" t="n">
        <v>-2.11</v>
      </c>
      <c r="O35" s="4" t="n">
        <v>-2.14</v>
      </c>
      <c r="P35" s="4" t="n">
        <v>-2.14</v>
      </c>
      <c r="Q35" s="4" t="n">
        <v>-1.42</v>
      </c>
      <c r="R35" s="4" t="n">
        <v>-1.46</v>
      </c>
      <c r="S35" s="4" t="n">
        <v>-1.47</v>
      </c>
    </row>
    <row r="36">
      <c r="A36" s="3" t="inlineStr">
        <is>
          <t>5AAA</t>
        </is>
      </c>
      <c r="B36" s="3" t="inlineStr">
        <is>
          <t>Crizotinib</t>
        </is>
      </c>
      <c r="C36" s="3" t="inlineStr">
        <is>
          <t>ALK</t>
        </is>
      </c>
      <c r="D36" s="3" t="inlineStr"/>
      <c r="E36" s="3" t="n">
        <v>5</v>
      </c>
      <c r="F36" s="3" t="n">
        <v>4</v>
      </c>
      <c r="G36" s="3" t="n">
        <v>4</v>
      </c>
      <c r="H36" s="4" t="n">
        <v>1.61</v>
      </c>
      <c r="I36" s="4" t="n">
        <v>1.61</v>
      </c>
      <c r="J36" s="4" t="n">
        <v>1.61</v>
      </c>
      <c r="K36" s="4" t="n">
        <v>1</v>
      </c>
      <c r="L36" s="4" t="n">
        <v>1</v>
      </c>
      <c r="M36" s="4" t="n">
        <v>1</v>
      </c>
      <c r="N36" s="4" t="n">
        <v>-5.45</v>
      </c>
      <c r="O36" s="4" t="n">
        <v>-5.46</v>
      </c>
      <c r="P36" s="4" t="n">
        <v>-5.38</v>
      </c>
      <c r="Q36" s="4" t="n">
        <v>-4.52</v>
      </c>
      <c r="R36" s="4" t="n">
        <v>-4.49</v>
      </c>
      <c r="S36" s="4" t="n">
        <v>-4.44</v>
      </c>
    </row>
    <row r="37">
      <c r="A37" s="3" t="inlineStr">
        <is>
          <t>5AAB</t>
        </is>
      </c>
      <c r="B37" s="3" t="inlineStr">
        <is>
          <t>Crizotinib</t>
        </is>
      </c>
      <c r="C37" s="3" t="inlineStr">
        <is>
          <t>ALK</t>
        </is>
      </c>
      <c r="D37" s="3" t="inlineStr"/>
      <c r="E37" s="3" t="n">
        <v>5</v>
      </c>
      <c r="F37" s="3" t="n">
        <v>4</v>
      </c>
      <c r="G37" s="3" t="n">
        <v>4</v>
      </c>
      <c r="H37" s="4" t="n">
        <v>1.61</v>
      </c>
      <c r="I37" s="4" t="n">
        <v>1.61</v>
      </c>
      <c r="J37" s="4" t="n">
        <v>1.61</v>
      </c>
      <c r="K37" s="4" t="n">
        <v>1</v>
      </c>
      <c r="L37" s="4" t="n">
        <v>1</v>
      </c>
      <c r="M37" s="4" t="n">
        <v>1</v>
      </c>
      <c r="N37" s="4" t="n">
        <v>-5.95</v>
      </c>
      <c r="O37" s="4" t="n">
        <v>-6.35</v>
      </c>
      <c r="P37" s="4" t="n">
        <v>-6.36</v>
      </c>
      <c r="Q37" s="4" t="n">
        <v>-5.02</v>
      </c>
      <c r="R37" s="4" t="n">
        <v>-5.41</v>
      </c>
      <c r="S37" s="4" t="n">
        <v>-5.42</v>
      </c>
    </row>
    <row r="38">
      <c r="A38" s="3" t="inlineStr">
        <is>
          <t>5AAC</t>
        </is>
      </c>
      <c r="B38" s="3" t="inlineStr">
        <is>
          <t>Crizotinib</t>
        </is>
      </c>
      <c r="C38" s="3" t="inlineStr">
        <is>
          <t>ALK</t>
        </is>
      </c>
      <c r="D38" s="3" t="inlineStr"/>
      <c r="E38" s="3" t="n">
        <v>5</v>
      </c>
      <c r="F38" s="3" t="n">
        <v>4</v>
      </c>
      <c r="G38" s="3" t="n">
        <v>4</v>
      </c>
      <c r="H38" s="4" t="n">
        <v>1.61</v>
      </c>
      <c r="I38" s="4" t="n">
        <v>1.61</v>
      </c>
      <c r="J38" s="4" t="n">
        <v>1.61</v>
      </c>
      <c r="K38" s="4" t="n">
        <v>1</v>
      </c>
      <c r="L38" s="4" t="n">
        <v>1</v>
      </c>
      <c r="M38" s="4" t="n">
        <v>1</v>
      </c>
      <c r="N38" s="4" t="n">
        <v>-5.32</v>
      </c>
      <c r="O38" s="4" t="n">
        <v>-5.79</v>
      </c>
      <c r="P38" s="4" t="n">
        <v>-5.77</v>
      </c>
      <c r="Q38" s="4" t="n">
        <v>-4.4</v>
      </c>
      <c r="R38" s="4" t="n">
        <v>-4.87</v>
      </c>
      <c r="S38" s="4" t="n">
        <v>-4.86</v>
      </c>
    </row>
    <row r="39">
      <c r="A39" s="3" t="inlineStr">
        <is>
          <t>5L2I</t>
        </is>
      </c>
      <c r="B39" s="3" t="inlineStr">
        <is>
          <t>Palbociclib</t>
        </is>
      </c>
      <c r="C39" s="3" t="inlineStr">
        <is>
          <t>CDK6</t>
        </is>
      </c>
      <c r="D39" s="3" t="inlineStr"/>
      <c r="E39" s="3" t="n">
        <v>2</v>
      </c>
      <c r="F39" s="3" t="n">
        <v>2</v>
      </c>
      <c r="G39" s="3" t="n">
        <v>2</v>
      </c>
      <c r="H39" s="4" t="n">
        <v>0.98</v>
      </c>
      <c r="I39" s="4" t="n">
        <v>0.98</v>
      </c>
      <c r="J39" s="4" t="n">
        <v>0.98</v>
      </c>
      <c r="K39" s="4" t="n">
        <v>0.99</v>
      </c>
      <c r="L39" s="4" t="n">
        <v>0.99</v>
      </c>
      <c r="M39" s="4" t="n">
        <v>0.99</v>
      </c>
      <c r="N39" s="4" t="n">
        <v>-0.19</v>
      </c>
      <c r="O39" s="4" t="n">
        <v>-0.21</v>
      </c>
      <c r="P39" s="4" t="n">
        <v>-0.3</v>
      </c>
      <c r="Q39" s="4" t="n">
        <v>0.87</v>
      </c>
      <c r="R39" s="4" t="n">
        <v>0.77</v>
      </c>
      <c r="S39" s="4" t="n">
        <v>0.71</v>
      </c>
    </row>
    <row r="40">
      <c r="A40" s="3" t="inlineStr">
        <is>
          <t>5MO4</t>
        </is>
      </c>
      <c r="B40" s="3" t="inlineStr">
        <is>
          <t>Nilotinib</t>
        </is>
      </c>
      <c r="C40" s="3" t="inlineStr">
        <is>
          <t>ABL</t>
        </is>
      </c>
      <c r="D40" s="3" t="inlineStr"/>
      <c r="E40" s="3" t="n">
        <v>3</v>
      </c>
      <c r="F40" s="3" t="n">
        <v>3</v>
      </c>
      <c r="G40" s="3" t="n">
        <v>3</v>
      </c>
      <c r="H40" s="4" t="n">
        <v>0.09</v>
      </c>
      <c r="I40" s="4" t="n">
        <v>0.09</v>
      </c>
      <c r="J40" s="4" t="n">
        <v>0.09</v>
      </c>
      <c r="K40" s="4" t="n">
        <v>0.23</v>
      </c>
      <c r="L40" s="4" t="n">
        <v>0.23</v>
      </c>
      <c r="M40" s="4" t="n">
        <v>0.25</v>
      </c>
      <c r="N40" s="4" t="n">
        <v>-7.97</v>
      </c>
      <c r="O40" s="4" t="n">
        <v>-7.89</v>
      </c>
      <c r="P40" s="4" t="n">
        <v>-7.95</v>
      </c>
      <c r="Q40" s="4" t="n">
        <v>-7.77</v>
      </c>
      <c r="R40" s="4" t="n">
        <v>-7.66</v>
      </c>
      <c r="S40" s="4" t="n">
        <v>-7.71</v>
      </c>
    </row>
    <row r="42">
      <c r="A42" s="5" t="inlineStr">
        <is>
          <t>Source: xts_sum_crg.out (pH 7.4, entropy-corrected by xts_corr.py) in each trial's run_inhib / run_holo / run_apo; #conf from run_inhib/head3.lst. These are the workbook's only hardcoded values.</t>
        </is>
      </c>
    </row>
  </sheetData>
  <mergeCells count="5">
    <mergeCell ref="H1:J1"/>
    <mergeCell ref="N1:P1"/>
    <mergeCell ref="Q1:S1"/>
    <mergeCell ref="E1:G1"/>
    <mergeCell ref="K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6" customWidth="1" min="18" max="18"/>
    <col width="20" customWidth="1" min="19" max="19"/>
  </cols>
  <sheetData>
    <row r="1">
      <c r="A1" s="6" t="inlineStr">
        <is>
          <t>Table 1 (Trials): inhibitor and kinase charge at pH 7.4, mean of 3 independent trials</t>
        </is>
      </c>
    </row>
    <row r="2">
      <c r="A2" s="5" t="inlineStr">
        <is>
          <t>Each value is the mean over the trials; ± columns are the standard error of the mean (SD/√n). See the Methods sheet.</t>
        </is>
      </c>
    </row>
    <row r="4">
      <c r="A4" s="1" t="inlineStr"/>
      <c r="B4" s="1" t="inlineStr"/>
      <c r="C4" s="1" t="inlineStr"/>
      <c r="D4" s="1" t="inlineStr">
        <is>
          <t>Ligand</t>
        </is>
      </c>
      <c r="L4" s="1" t="inlineStr">
        <is>
          <t>Apo-kinase</t>
        </is>
      </c>
      <c r="N4" s="1" t="inlineStr">
        <is>
          <t>Holo-kinase</t>
        </is>
      </c>
      <c r="P4" s="1" t="inlineStr">
        <is>
          <t>Holo-Apo</t>
        </is>
      </c>
      <c r="R4" s="1" t="inlineStr">
        <is>
          <t>Structure</t>
        </is>
      </c>
    </row>
    <row r="5">
      <c r="A5" s="2" t="inlineStr">
        <is>
          <t>PDBID</t>
        </is>
      </c>
      <c r="B5" s="2" t="inlineStr">
        <is>
          <t>Ligand</t>
        </is>
      </c>
      <c r="C5" s="2" t="inlineStr">
        <is>
          <t>Kinase</t>
        </is>
      </c>
      <c r="D5" s="2" t="inlineStr">
        <is>
          <t>#conf</t>
        </is>
      </c>
      <c r="E5" s="2" t="inlineStr">
        <is>
          <t>crg soln</t>
        </is>
      </c>
      <c r="F5" s="2" t="inlineStr">
        <is>
          <t>± SEM</t>
        </is>
      </c>
      <c r="G5" s="2" t="inlineStr">
        <is>
          <t>crg bound</t>
        </is>
      </c>
      <c r="H5" s="2" t="inlineStr">
        <is>
          <t>± SEM</t>
        </is>
      </c>
      <c r="I5" s="2" t="inlineStr">
        <is>
          <t>∆crg</t>
        </is>
      </c>
      <c r="J5" s="2" t="inlineStr">
        <is>
          <t>± SEM</t>
        </is>
      </c>
      <c r="K5" s="2" t="inlineStr">
        <is>
          <t>∆Taut</t>
        </is>
      </c>
      <c r="L5" s="2" t="inlineStr">
        <is>
          <t>charge</t>
        </is>
      </c>
      <c r="M5" s="2" t="inlineStr">
        <is>
          <t>± SEM</t>
        </is>
      </c>
      <c r="N5" s="2" t="inlineStr">
        <is>
          <t>charge</t>
        </is>
      </c>
      <c r="O5" s="2" t="inlineStr">
        <is>
          <t>± SEM</t>
        </is>
      </c>
      <c r="P5" s="2" t="inlineStr">
        <is>
          <t>∆crg</t>
        </is>
      </c>
      <c r="Q5" s="2" t="inlineStr">
        <is>
          <t>± SEM</t>
        </is>
      </c>
      <c r="R5" s="2" t="inlineStr">
        <is>
          <t>DFG</t>
        </is>
      </c>
      <c r="S5" s="2" t="inlineStr">
        <is>
          <t>Kinase conformation</t>
        </is>
      </c>
    </row>
    <row r="6">
      <c r="A6" s="7" t="n"/>
      <c r="B6" s="8" t="inlineStr">
        <is>
          <t>ABL: Tyrosine Protein Kinase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</row>
    <row r="7">
      <c r="A7" s="3" t="inlineStr">
        <is>
          <t>3UE4</t>
        </is>
      </c>
      <c r="B7" s="3" t="inlineStr">
        <is>
          <t>Bosutinib</t>
        </is>
      </c>
      <c r="C7" s="3" t="inlineStr">
        <is>
          <t>ABL</t>
        </is>
      </c>
      <c r="D7" s="9">
        <f>AVERAGE('Per-Trial Data'!$E16:$G16)</f>
        <v/>
      </c>
      <c r="E7" s="4">
        <f>AVERAGE('Per-Trial Data'!$H16:$J16)</f>
        <v/>
      </c>
      <c r="F7" s="10">
        <f>IF(COUNT('Per-Trial Data'!$H16:$J16)&gt;1,STDEV('Per-Trial Data'!$H16:$J16)/SQRT(COUNT('Per-Trial Data'!$H16:$J16)),0)</f>
        <v/>
      </c>
      <c r="G7" s="4">
        <f>AVERAGE('Per-Trial Data'!$K16:$M16)</f>
        <v/>
      </c>
      <c r="H7" s="10">
        <f>IF(COUNT('Per-Trial Data'!$K16:$M16)&gt;1,STDEV('Per-Trial Data'!$K16:$M16)/SQRT(COUNT('Per-Trial Data'!$K16:$M16)),0)</f>
        <v/>
      </c>
      <c r="I7" s="4">
        <f>G7-E7</f>
        <v/>
      </c>
      <c r="J7" s="10">
        <f>SQRT(F7^2+H7^2)</f>
        <v/>
      </c>
      <c r="K7" s="3" t="inlineStr"/>
      <c r="L7" s="4">
        <f>AVERAGE('Per-Trial Data'!$N16:$P16)</f>
        <v/>
      </c>
      <c r="M7" s="10">
        <f>IF(COUNT('Per-Trial Data'!$N16:$P16)&gt;1,STDEV('Per-Trial Data'!$N16:$P16)/SQRT(COUNT('Per-Trial Data'!$N16:$P16)),0)</f>
        <v/>
      </c>
      <c r="N7" s="4">
        <f>AVERAGE('Per-Trial Data'!$Q16:$S16)</f>
        <v/>
      </c>
      <c r="O7" s="10">
        <f>IF(COUNT('Per-Trial Data'!$Q16:$S16)&gt;1,STDEV('Per-Trial Data'!$Q16:$S16)/SQRT(COUNT('Per-Trial Data'!$Q16:$S16)),0)</f>
        <v/>
      </c>
      <c r="P7" s="4">
        <f>N7-L7</f>
        <v/>
      </c>
      <c r="Q7" s="10">
        <f>SQRT(M7^2+O7^2)</f>
        <v/>
      </c>
      <c r="R7" s="3" t="inlineStr"/>
      <c r="S7" s="3" t="inlineStr"/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ABL</t>
        </is>
      </c>
      <c r="D8" s="9">
        <f>AVERAGE('Per-Trial Data'!$E5:$G5)</f>
        <v/>
      </c>
      <c r="E8" s="4">
        <f>AVERAGE('Per-Trial Data'!$H5:$J5)</f>
        <v/>
      </c>
      <c r="F8" s="10">
        <f>IF(COUNT('Per-Trial Data'!$H5:$J5)&gt;1,STDEV('Per-Trial Data'!$H5:$J5)/SQRT(COUNT('Per-Trial Data'!$H5:$J5)),0)</f>
        <v/>
      </c>
      <c r="G8" s="4">
        <f>AVERAGE('Per-Trial Data'!$K5:$M5)</f>
        <v/>
      </c>
      <c r="H8" s="10">
        <f>IF(COUNT('Per-Trial Data'!$K5:$M5)&gt;1,STDEV('Per-Trial Data'!$K5:$M5)/SQRT(COUNT('Per-Trial Data'!$K5:$M5)),0)</f>
        <v/>
      </c>
      <c r="I8" s="4">
        <f>G8-E8</f>
        <v/>
      </c>
      <c r="J8" s="10">
        <f>SQRT(F8^2+H8^2)</f>
        <v/>
      </c>
      <c r="K8" s="3" t="inlineStr"/>
      <c r="L8" s="4">
        <f>AVERAGE('Per-Trial Data'!$N5:$P5)</f>
        <v/>
      </c>
      <c r="M8" s="10">
        <f>IF(COUNT('Per-Trial Data'!$N5:$P5)&gt;1,STDEV('Per-Trial Data'!$N5:$P5)/SQRT(COUNT('Per-Trial Data'!$N5:$P5)),0)</f>
        <v/>
      </c>
      <c r="N8" s="4">
        <f>AVERAGE('Per-Trial Data'!$Q5:$S5)</f>
        <v/>
      </c>
      <c r="O8" s="10">
        <f>IF(COUNT('Per-Trial Data'!$Q5:$S5)&gt;1,STDEV('Per-Trial Data'!$Q5:$S5)/SQRT(COUNT('Per-Trial Data'!$Q5:$S5)),0)</f>
        <v/>
      </c>
      <c r="P8" s="4">
        <f>N8-L8</f>
        <v/>
      </c>
      <c r="Q8" s="10">
        <f>SQRT(M8^2+O8^2)</f>
        <v/>
      </c>
      <c r="R8" s="3" t="inlineStr"/>
      <c r="S8" s="3" t="inlineStr"/>
    </row>
    <row r="9">
      <c r="A9" s="3" t="inlineStr">
        <is>
          <t>3PYY</t>
        </is>
      </c>
      <c r="B9" s="3" t="inlineStr">
        <is>
          <t>Imatinib</t>
        </is>
      </c>
      <c r="C9" s="3" t="inlineStr">
        <is>
          <t>ABL</t>
        </is>
      </c>
      <c r="D9" s="9">
        <f>AVERAGE('Per-Trial Data'!$E15:$G15)</f>
        <v/>
      </c>
      <c r="E9" s="4">
        <f>AVERAGE('Per-Trial Data'!$H15:$J15)</f>
        <v/>
      </c>
      <c r="F9" s="10">
        <f>IF(COUNT('Per-Trial Data'!$H15:$J15)&gt;1,STDEV('Per-Trial Data'!$H15:$J15)/SQRT(COUNT('Per-Trial Data'!$H15:$J15)),0)</f>
        <v/>
      </c>
      <c r="G9" s="4">
        <f>AVERAGE('Per-Trial Data'!$K15:$M15)</f>
        <v/>
      </c>
      <c r="H9" s="10">
        <f>IF(COUNT('Per-Trial Data'!$K15:$M15)&gt;1,STDEV('Per-Trial Data'!$K15:$M15)/SQRT(COUNT('Per-Trial Data'!$K15:$M15)),0)</f>
        <v/>
      </c>
      <c r="I9" s="4">
        <f>G9-E9</f>
        <v/>
      </c>
      <c r="J9" s="10">
        <f>SQRT(F9^2+H9^2)</f>
        <v/>
      </c>
      <c r="K9" s="3" t="inlineStr"/>
      <c r="L9" s="4">
        <f>AVERAGE('Per-Trial Data'!$N15:$P15)</f>
        <v/>
      </c>
      <c r="M9" s="10">
        <f>IF(COUNT('Per-Trial Data'!$N15:$P15)&gt;1,STDEV('Per-Trial Data'!$N15:$P15)/SQRT(COUNT('Per-Trial Data'!$N15:$P15)),0)</f>
        <v/>
      </c>
      <c r="N9" s="4">
        <f>AVERAGE('Per-Trial Data'!$Q15:$S15)</f>
        <v/>
      </c>
      <c r="O9" s="10">
        <f>IF(COUNT('Per-Trial Data'!$Q15:$S15)&gt;1,STDEV('Per-Trial Data'!$Q15:$S15)/SQRT(COUNT('Per-Trial Data'!$Q15:$S15)),0)</f>
        <v/>
      </c>
      <c r="P9" s="4">
        <f>N9-L9</f>
        <v/>
      </c>
      <c r="Q9" s="10">
        <f>SQRT(M9^2+O9^2)</f>
        <v/>
      </c>
      <c r="R9" s="3" t="inlineStr"/>
      <c r="S9" s="3" t="inlineStr"/>
    </row>
    <row r="10">
      <c r="A10" s="3" t="inlineStr">
        <is>
          <t>3CS9</t>
        </is>
      </c>
      <c r="B10" s="3" t="inlineStr">
        <is>
          <t>Nilotinib</t>
        </is>
      </c>
      <c r="C10" s="3" t="inlineStr">
        <is>
          <t>ABL</t>
        </is>
      </c>
      <c r="D10" s="9">
        <f>AVERAGE('Per-Trial Data'!$E13:$G13)</f>
        <v/>
      </c>
      <c r="E10" s="4">
        <f>AVERAGE('Per-Trial Data'!$H13:$J13)</f>
        <v/>
      </c>
      <c r="F10" s="10">
        <f>IF(COUNT('Per-Trial Data'!$H13:$J13)&gt;1,STDEV('Per-Trial Data'!$H13:$J13)/SQRT(COUNT('Per-Trial Data'!$H13:$J13)),0)</f>
        <v/>
      </c>
      <c r="G10" s="4">
        <f>AVERAGE('Per-Trial Data'!$K13:$M13)</f>
        <v/>
      </c>
      <c r="H10" s="10">
        <f>IF(COUNT('Per-Trial Data'!$K13:$M13)&gt;1,STDEV('Per-Trial Data'!$K13:$M13)/SQRT(COUNT('Per-Trial Data'!$K13:$M13)),0)</f>
        <v/>
      </c>
      <c r="I10" s="4">
        <f>G10-E10</f>
        <v/>
      </c>
      <c r="J10" s="10">
        <f>SQRT(F10^2+H10^2)</f>
        <v/>
      </c>
      <c r="K10" s="3" t="inlineStr"/>
      <c r="L10" s="4">
        <f>AVERAGE('Per-Trial Data'!$N13:$P13)</f>
        <v/>
      </c>
      <c r="M10" s="10">
        <f>IF(COUNT('Per-Trial Data'!$N13:$P13)&gt;1,STDEV('Per-Trial Data'!$N13:$P13)/SQRT(COUNT('Per-Trial Data'!$N13:$P13)),0)</f>
        <v/>
      </c>
      <c r="N10" s="4">
        <f>AVERAGE('Per-Trial Data'!$Q13:$S13)</f>
        <v/>
      </c>
      <c r="O10" s="10">
        <f>IF(COUNT('Per-Trial Data'!$Q13:$S13)&gt;1,STDEV('Per-Trial Data'!$Q13:$S13)/SQRT(COUNT('Per-Trial Data'!$Q13:$S13)),0)</f>
        <v/>
      </c>
      <c r="P10" s="4">
        <f>N10-L10</f>
        <v/>
      </c>
      <c r="Q10" s="10">
        <f>SQRT(M10^2+O10^2)</f>
        <v/>
      </c>
      <c r="R10" s="3" t="inlineStr"/>
      <c r="S10" s="3" t="inlineStr"/>
    </row>
    <row r="11">
      <c r="A11" s="3" t="inlineStr">
        <is>
          <t>5MO4</t>
        </is>
      </c>
      <c r="B11" s="3" t="inlineStr">
        <is>
          <t>Nilotinib</t>
        </is>
      </c>
      <c r="C11" s="3" t="inlineStr">
        <is>
          <t>ABL</t>
        </is>
      </c>
      <c r="D11" s="9">
        <f>AVERAGE('Per-Trial Data'!$E40:$G40)</f>
        <v/>
      </c>
      <c r="E11" s="4">
        <f>AVERAGE('Per-Trial Data'!$H40:$J40)</f>
        <v/>
      </c>
      <c r="F11" s="10">
        <f>IF(COUNT('Per-Trial Data'!$H40:$J40)&gt;1,STDEV('Per-Trial Data'!$H40:$J40)/SQRT(COUNT('Per-Trial Data'!$H40:$J40)),0)</f>
        <v/>
      </c>
      <c r="G11" s="4">
        <f>AVERAGE('Per-Trial Data'!$K40:$M40)</f>
        <v/>
      </c>
      <c r="H11" s="10">
        <f>IF(COUNT('Per-Trial Data'!$K40:$M40)&gt;1,STDEV('Per-Trial Data'!$K40:$M40)/SQRT(COUNT('Per-Trial Data'!$K40:$M40)),0)</f>
        <v/>
      </c>
      <c r="I11" s="4">
        <f>G11-E11</f>
        <v/>
      </c>
      <c r="J11" s="10">
        <f>SQRT(F11^2+H11^2)</f>
        <v/>
      </c>
      <c r="K11" s="3" t="inlineStr"/>
      <c r="L11" s="4">
        <f>AVERAGE('Per-Trial Data'!$N40:$P40)</f>
        <v/>
      </c>
      <c r="M11" s="10">
        <f>IF(COUNT('Per-Trial Data'!$N40:$P40)&gt;1,STDEV('Per-Trial Data'!$N40:$P40)/SQRT(COUNT('Per-Trial Data'!$N40:$P40)),0)</f>
        <v/>
      </c>
      <c r="N11" s="4">
        <f>AVERAGE('Per-Trial Data'!$Q40:$S40)</f>
        <v/>
      </c>
      <c r="O11" s="10">
        <f>IF(COUNT('Per-Trial Data'!$Q40:$S40)&gt;1,STDEV('Per-Trial Data'!$Q40:$S40)/SQRT(COUNT('Per-Trial Data'!$Q40:$S40)),0)</f>
        <v/>
      </c>
      <c r="P11" s="4">
        <f>N11-L11</f>
        <v/>
      </c>
      <c r="Q11" s="10">
        <f>SQRT(M11^2+O11^2)</f>
        <v/>
      </c>
      <c r="R11" s="3" t="inlineStr"/>
      <c r="S11" s="3" t="inlineStr"/>
    </row>
    <row r="12">
      <c r="A12" s="7" t="n"/>
      <c r="B12" s="8" t="inlineStr">
        <is>
          <t>ALK: Anaplastic Lymphoma Kinase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</row>
    <row r="13">
      <c r="A13" s="3" t="inlineStr">
        <is>
          <t>3AOX</t>
        </is>
      </c>
      <c r="B13" s="3" t="inlineStr">
        <is>
          <t>Alectinib</t>
        </is>
      </c>
      <c r="C13" s="3" t="inlineStr">
        <is>
          <t>ALK</t>
        </is>
      </c>
      <c r="D13" s="9">
        <f>AVERAGE('Per-Trial Data'!$E12:$G12)</f>
        <v/>
      </c>
      <c r="E13" s="4">
        <f>AVERAGE('Per-Trial Data'!$H12:$J12)</f>
        <v/>
      </c>
      <c r="F13" s="10">
        <f>IF(COUNT('Per-Trial Data'!$H12:$J12)&gt;1,STDEV('Per-Trial Data'!$H12:$J12)/SQRT(COUNT('Per-Trial Data'!$H12:$J12)),0)</f>
        <v/>
      </c>
      <c r="G13" s="4">
        <f>AVERAGE('Per-Trial Data'!$K12:$M12)</f>
        <v/>
      </c>
      <c r="H13" s="10">
        <f>IF(COUNT('Per-Trial Data'!$K12:$M12)&gt;1,STDEV('Per-Trial Data'!$K12:$M12)/SQRT(COUNT('Per-Trial Data'!$K12:$M12)),0)</f>
        <v/>
      </c>
      <c r="I13" s="4">
        <f>G13-E13</f>
        <v/>
      </c>
      <c r="J13" s="10">
        <f>SQRT(F13^2+H13^2)</f>
        <v/>
      </c>
      <c r="K13" s="3" t="inlineStr"/>
      <c r="L13" s="4">
        <f>AVERAGE('Per-Trial Data'!$N12:$P12)</f>
        <v/>
      </c>
      <c r="M13" s="10">
        <f>IF(COUNT('Per-Trial Data'!$N12:$P12)&gt;1,STDEV('Per-Trial Data'!$N12:$P12)/SQRT(COUNT('Per-Trial Data'!$N12:$P12)),0)</f>
        <v/>
      </c>
      <c r="N13" s="4">
        <f>AVERAGE('Per-Trial Data'!$Q12:$S12)</f>
        <v/>
      </c>
      <c r="O13" s="10">
        <f>IF(COUNT('Per-Trial Data'!$Q12:$S12)&gt;1,STDEV('Per-Trial Data'!$Q12:$S12)/SQRT(COUNT('Per-Trial Data'!$Q12:$S12)),0)</f>
        <v/>
      </c>
      <c r="P13" s="4">
        <f>N13-L13</f>
        <v/>
      </c>
      <c r="Q13" s="10">
        <f>SQRT(M13^2+O13^2)</f>
        <v/>
      </c>
      <c r="R13" s="3" t="inlineStr"/>
      <c r="S13" s="3" t="inlineStr"/>
    </row>
    <row r="14">
      <c r="A14" s="3" t="inlineStr">
        <is>
          <t>4MKC</t>
        </is>
      </c>
      <c r="B14" s="3" t="inlineStr">
        <is>
          <t>Ceritinib</t>
        </is>
      </c>
      <c r="C14" s="3" t="inlineStr">
        <is>
          <t>ALK</t>
        </is>
      </c>
      <c r="D14" s="9">
        <f>AVERAGE('Per-Trial Data'!$E33:$G33)</f>
        <v/>
      </c>
      <c r="E14" s="4">
        <f>AVERAGE('Per-Trial Data'!$H33:$J33)</f>
        <v/>
      </c>
      <c r="F14" s="10">
        <f>IF(COUNT('Per-Trial Data'!$H33:$J33)&gt;1,STDEV('Per-Trial Data'!$H33:$J33)/SQRT(COUNT('Per-Trial Data'!$H33:$J33)),0)</f>
        <v/>
      </c>
      <c r="G14" s="4">
        <f>AVERAGE('Per-Trial Data'!$K33:$M33)</f>
        <v/>
      </c>
      <c r="H14" s="10">
        <f>IF(COUNT('Per-Trial Data'!$K33:$M33)&gt;1,STDEV('Per-Trial Data'!$K33:$M33)/SQRT(COUNT('Per-Trial Data'!$K33:$M33)),0)</f>
        <v/>
      </c>
      <c r="I14" s="4">
        <f>G14-E14</f>
        <v/>
      </c>
      <c r="J14" s="10">
        <f>SQRT(F14^2+H14^2)</f>
        <v/>
      </c>
      <c r="K14" s="3" t="inlineStr"/>
      <c r="L14" s="4">
        <f>AVERAGE('Per-Trial Data'!$N33:$P33)</f>
        <v/>
      </c>
      <c r="M14" s="10">
        <f>IF(COUNT('Per-Trial Data'!$N33:$P33)&gt;1,STDEV('Per-Trial Data'!$N33:$P33)/SQRT(COUNT('Per-Trial Data'!$N33:$P33)),0)</f>
        <v/>
      </c>
      <c r="N14" s="4">
        <f>AVERAGE('Per-Trial Data'!$Q33:$S33)</f>
        <v/>
      </c>
      <c r="O14" s="10">
        <f>IF(COUNT('Per-Trial Data'!$Q33:$S33)&gt;1,STDEV('Per-Trial Data'!$Q33:$S33)/SQRT(COUNT('Per-Trial Data'!$Q33:$S33)),0)</f>
        <v/>
      </c>
      <c r="P14" s="4">
        <f>N14-L14</f>
        <v/>
      </c>
      <c r="Q14" s="10">
        <f>SQRT(M14^2+O14^2)</f>
        <v/>
      </c>
      <c r="R14" s="3" t="inlineStr"/>
      <c r="S14" s="3" t="inlineStr"/>
    </row>
    <row r="15">
      <c r="A15" s="3" t="inlineStr">
        <is>
          <t>2XP2</t>
        </is>
      </c>
      <c r="B15" s="3" t="inlineStr">
        <is>
          <t>Crizotinib</t>
        </is>
      </c>
      <c r="C15" s="3" t="inlineStr">
        <is>
          <t>ALK</t>
        </is>
      </c>
      <c r="D15" s="9">
        <f>AVERAGE('Per-Trial Data'!$E10:$G10)</f>
        <v/>
      </c>
      <c r="E15" s="4">
        <f>AVERAGE('Per-Trial Data'!$H10:$J10)</f>
        <v/>
      </c>
      <c r="F15" s="10">
        <f>IF(COUNT('Per-Trial Data'!$H10:$J10)&gt;1,STDEV('Per-Trial Data'!$H10:$J10)/SQRT(COUNT('Per-Trial Data'!$H10:$J10)),0)</f>
        <v/>
      </c>
      <c r="G15" s="4">
        <f>AVERAGE('Per-Trial Data'!$K10:$M10)</f>
        <v/>
      </c>
      <c r="H15" s="10">
        <f>IF(COUNT('Per-Trial Data'!$K10:$M10)&gt;1,STDEV('Per-Trial Data'!$K10:$M10)/SQRT(COUNT('Per-Trial Data'!$K10:$M10)),0)</f>
        <v/>
      </c>
      <c r="I15" s="4">
        <f>G15-E15</f>
        <v/>
      </c>
      <c r="J15" s="10">
        <f>SQRT(F15^2+H15^2)</f>
        <v/>
      </c>
      <c r="K15" s="3" t="inlineStr"/>
      <c r="L15" s="4">
        <f>AVERAGE('Per-Trial Data'!$N10:$P10)</f>
        <v/>
      </c>
      <c r="M15" s="10">
        <f>IF(COUNT('Per-Trial Data'!$N10:$P10)&gt;1,STDEV('Per-Trial Data'!$N10:$P10)/SQRT(COUNT('Per-Trial Data'!$N10:$P10)),0)</f>
        <v/>
      </c>
      <c r="N15" s="4">
        <f>AVERAGE('Per-Trial Data'!$Q10:$S10)</f>
        <v/>
      </c>
      <c r="O15" s="10">
        <f>IF(COUNT('Per-Trial Data'!$Q10:$S10)&gt;1,STDEV('Per-Trial Data'!$Q10:$S10)/SQRT(COUNT('Per-Trial Data'!$Q10:$S10)),0)</f>
        <v/>
      </c>
      <c r="P15" s="4">
        <f>N15-L15</f>
        <v/>
      </c>
      <c r="Q15" s="10">
        <f>SQRT(M15^2+O15^2)</f>
        <v/>
      </c>
      <c r="R15" s="3" t="inlineStr"/>
      <c r="S15" s="3" t="inlineStr"/>
    </row>
    <row r="16">
      <c r="A16" s="3" t="inlineStr">
        <is>
          <t>2YFX</t>
        </is>
      </c>
      <c r="B16" s="3" t="inlineStr">
        <is>
          <t>Crizotinib</t>
        </is>
      </c>
      <c r="C16" s="3" t="inlineStr">
        <is>
          <t>ALK</t>
        </is>
      </c>
      <c r="D16" s="9">
        <f>AVERAGE('Per-Trial Data'!$E11:$G11)</f>
        <v/>
      </c>
      <c r="E16" s="4">
        <f>AVERAGE('Per-Trial Data'!$H11:$J11)</f>
        <v/>
      </c>
      <c r="F16" s="10">
        <f>IF(COUNT('Per-Trial Data'!$H11:$J11)&gt;1,STDEV('Per-Trial Data'!$H11:$J11)/SQRT(COUNT('Per-Trial Data'!$H11:$J11)),0)</f>
        <v/>
      </c>
      <c r="G16" s="4">
        <f>AVERAGE('Per-Trial Data'!$K11:$M11)</f>
        <v/>
      </c>
      <c r="H16" s="10">
        <f>IF(COUNT('Per-Trial Data'!$K11:$M11)&gt;1,STDEV('Per-Trial Data'!$K11:$M11)/SQRT(COUNT('Per-Trial Data'!$K11:$M11)),0)</f>
        <v/>
      </c>
      <c r="I16" s="4">
        <f>G16-E16</f>
        <v/>
      </c>
      <c r="J16" s="10">
        <f>SQRT(F16^2+H16^2)</f>
        <v/>
      </c>
      <c r="K16" s="3" t="inlineStr"/>
      <c r="L16" s="4">
        <f>AVERAGE('Per-Trial Data'!$N11:$P11)</f>
        <v/>
      </c>
      <c r="M16" s="10">
        <f>IF(COUNT('Per-Trial Data'!$N11:$P11)&gt;1,STDEV('Per-Trial Data'!$N11:$P11)/SQRT(COUNT('Per-Trial Data'!$N11:$P11)),0)</f>
        <v/>
      </c>
      <c r="N16" s="4">
        <f>AVERAGE('Per-Trial Data'!$Q11:$S11)</f>
        <v/>
      </c>
      <c r="O16" s="10">
        <f>IF(COUNT('Per-Trial Data'!$Q11:$S11)&gt;1,STDEV('Per-Trial Data'!$Q11:$S11)/SQRT(COUNT('Per-Trial Data'!$Q11:$S11)),0)</f>
        <v/>
      </c>
      <c r="P16" s="4">
        <f>N16-L16</f>
        <v/>
      </c>
      <c r="Q16" s="10">
        <f>SQRT(M16^2+O16^2)</f>
        <v/>
      </c>
      <c r="R16" s="3" t="inlineStr"/>
      <c r="S16" s="3" t="inlineStr"/>
    </row>
    <row r="17">
      <c r="A17" s="3" t="inlineStr">
        <is>
          <t>4ANQ</t>
        </is>
      </c>
      <c r="B17" s="3" t="inlineStr">
        <is>
          <t>Crizotinib</t>
        </is>
      </c>
      <c r="C17" s="3" t="inlineStr">
        <is>
          <t>ALK</t>
        </is>
      </c>
      <c r="D17" s="9">
        <f>AVERAGE('Per-Trial Data'!$E26:$G26)</f>
        <v/>
      </c>
      <c r="E17" s="4">
        <f>AVERAGE('Per-Trial Data'!$H26:$J26)</f>
        <v/>
      </c>
      <c r="F17" s="10">
        <f>IF(COUNT('Per-Trial Data'!$H26:$J26)&gt;1,STDEV('Per-Trial Data'!$H26:$J26)/SQRT(COUNT('Per-Trial Data'!$H26:$J26)),0)</f>
        <v/>
      </c>
      <c r="G17" s="4">
        <f>AVERAGE('Per-Trial Data'!$K26:$M26)</f>
        <v/>
      </c>
      <c r="H17" s="10">
        <f>IF(COUNT('Per-Trial Data'!$K26:$M26)&gt;1,STDEV('Per-Trial Data'!$K26:$M26)/SQRT(COUNT('Per-Trial Data'!$K26:$M26)),0)</f>
        <v/>
      </c>
      <c r="I17" s="4">
        <f>G17-E17</f>
        <v/>
      </c>
      <c r="J17" s="10">
        <f>SQRT(F17^2+H17^2)</f>
        <v/>
      </c>
      <c r="K17" s="3" t="inlineStr"/>
      <c r="L17" s="4">
        <f>AVERAGE('Per-Trial Data'!$N26:$P26)</f>
        <v/>
      </c>
      <c r="M17" s="10">
        <f>IF(COUNT('Per-Trial Data'!$N26:$P26)&gt;1,STDEV('Per-Trial Data'!$N26:$P26)/SQRT(COUNT('Per-Trial Data'!$N26:$P26)),0)</f>
        <v/>
      </c>
      <c r="N17" s="4">
        <f>AVERAGE('Per-Trial Data'!$Q26:$S26)</f>
        <v/>
      </c>
      <c r="O17" s="10">
        <f>IF(COUNT('Per-Trial Data'!$Q26:$S26)&gt;1,STDEV('Per-Trial Data'!$Q26:$S26)/SQRT(COUNT('Per-Trial Data'!$Q26:$S26)),0)</f>
        <v/>
      </c>
      <c r="P17" s="4">
        <f>N17-L17</f>
        <v/>
      </c>
      <c r="Q17" s="10">
        <f>SQRT(M17^2+O17^2)</f>
        <v/>
      </c>
      <c r="R17" s="3" t="inlineStr"/>
      <c r="S17" s="3" t="inlineStr"/>
    </row>
    <row r="18">
      <c r="A18" s="3" t="inlineStr">
        <is>
          <t>4ANS</t>
        </is>
      </c>
      <c r="B18" s="3" t="inlineStr">
        <is>
          <t>Crizotinib</t>
        </is>
      </c>
      <c r="C18" s="3" t="inlineStr">
        <is>
          <t>ALK</t>
        </is>
      </c>
      <c r="D18" s="9">
        <f>AVERAGE('Per-Trial Data'!$E27:$G27)</f>
        <v/>
      </c>
      <c r="E18" s="4">
        <f>AVERAGE('Per-Trial Data'!$H27:$J27)</f>
        <v/>
      </c>
      <c r="F18" s="10">
        <f>IF(COUNT('Per-Trial Data'!$H27:$J27)&gt;1,STDEV('Per-Trial Data'!$H27:$J27)/SQRT(COUNT('Per-Trial Data'!$H27:$J27)),0)</f>
        <v/>
      </c>
      <c r="G18" s="4">
        <f>AVERAGE('Per-Trial Data'!$K27:$M27)</f>
        <v/>
      </c>
      <c r="H18" s="10">
        <f>IF(COUNT('Per-Trial Data'!$K27:$M27)&gt;1,STDEV('Per-Trial Data'!$K27:$M27)/SQRT(COUNT('Per-Trial Data'!$K27:$M27)),0)</f>
        <v/>
      </c>
      <c r="I18" s="4">
        <f>G18-E18</f>
        <v/>
      </c>
      <c r="J18" s="10">
        <f>SQRT(F18^2+H18^2)</f>
        <v/>
      </c>
      <c r="K18" s="3" t="inlineStr"/>
      <c r="L18" s="4">
        <f>AVERAGE('Per-Trial Data'!$N27:$P27)</f>
        <v/>
      </c>
      <c r="M18" s="10">
        <f>IF(COUNT('Per-Trial Data'!$N27:$P27)&gt;1,STDEV('Per-Trial Data'!$N27:$P27)/SQRT(COUNT('Per-Trial Data'!$N27:$P27)),0)</f>
        <v/>
      </c>
      <c r="N18" s="4">
        <f>AVERAGE('Per-Trial Data'!$Q27:$S27)</f>
        <v/>
      </c>
      <c r="O18" s="10">
        <f>IF(COUNT('Per-Trial Data'!$Q27:$S27)&gt;1,STDEV('Per-Trial Data'!$Q27:$S27)/SQRT(COUNT('Per-Trial Data'!$Q27:$S27)),0)</f>
        <v/>
      </c>
      <c r="P18" s="4">
        <f>N18-L18</f>
        <v/>
      </c>
      <c r="Q18" s="10">
        <f>SQRT(M18^2+O18^2)</f>
        <v/>
      </c>
      <c r="R18" s="3" t="inlineStr"/>
      <c r="S18" s="3" t="inlineStr"/>
    </row>
    <row r="19">
      <c r="A19" s="3" t="inlineStr">
        <is>
          <t>5AAA</t>
        </is>
      </c>
      <c r="B19" s="3" t="inlineStr">
        <is>
          <t>Crizotinib</t>
        </is>
      </c>
      <c r="C19" s="3" t="inlineStr">
        <is>
          <t>ALK</t>
        </is>
      </c>
      <c r="D19" s="9">
        <f>AVERAGE('Per-Trial Data'!$E36:$G36)</f>
        <v/>
      </c>
      <c r="E19" s="4">
        <f>AVERAGE('Per-Trial Data'!$H36:$J36)</f>
        <v/>
      </c>
      <c r="F19" s="10">
        <f>IF(COUNT('Per-Trial Data'!$H36:$J36)&gt;1,STDEV('Per-Trial Data'!$H36:$J36)/SQRT(COUNT('Per-Trial Data'!$H36:$J36)),0)</f>
        <v/>
      </c>
      <c r="G19" s="4">
        <f>AVERAGE('Per-Trial Data'!$K36:$M36)</f>
        <v/>
      </c>
      <c r="H19" s="10">
        <f>IF(COUNT('Per-Trial Data'!$K36:$M36)&gt;1,STDEV('Per-Trial Data'!$K36:$M36)/SQRT(COUNT('Per-Trial Data'!$K36:$M36)),0)</f>
        <v/>
      </c>
      <c r="I19" s="4">
        <f>G19-E19</f>
        <v/>
      </c>
      <c r="J19" s="10">
        <f>SQRT(F19^2+H19^2)</f>
        <v/>
      </c>
      <c r="K19" s="3" t="inlineStr"/>
      <c r="L19" s="4">
        <f>AVERAGE('Per-Trial Data'!$N36:$P36)</f>
        <v/>
      </c>
      <c r="M19" s="10">
        <f>IF(COUNT('Per-Trial Data'!$N36:$P36)&gt;1,STDEV('Per-Trial Data'!$N36:$P36)/SQRT(COUNT('Per-Trial Data'!$N36:$P36)),0)</f>
        <v/>
      </c>
      <c r="N19" s="4">
        <f>AVERAGE('Per-Trial Data'!$Q36:$S36)</f>
        <v/>
      </c>
      <c r="O19" s="10">
        <f>IF(COUNT('Per-Trial Data'!$Q36:$S36)&gt;1,STDEV('Per-Trial Data'!$Q36:$S36)/SQRT(COUNT('Per-Trial Data'!$Q36:$S36)),0)</f>
        <v/>
      </c>
      <c r="P19" s="4">
        <f>N19-L19</f>
        <v/>
      </c>
      <c r="Q19" s="10">
        <f>SQRT(M19^2+O19^2)</f>
        <v/>
      </c>
      <c r="R19" s="3" t="inlineStr"/>
      <c r="S19" s="3" t="inlineStr"/>
    </row>
    <row r="20">
      <c r="A20" s="3" t="inlineStr">
        <is>
          <t>5AAB</t>
        </is>
      </c>
      <c r="B20" s="3" t="inlineStr">
        <is>
          <t>Crizotinib</t>
        </is>
      </c>
      <c r="C20" s="3" t="inlineStr">
        <is>
          <t>ALK</t>
        </is>
      </c>
      <c r="D20" s="9">
        <f>AVERAGE('Per-Trial Data'!$E37:$G37)</f>
        <v/>
      </c>
      <c r="E20" s="4">
        <f>AVERAGE('Per-Trial Data'!$H37:$J37)</f>
        <v/>
      </c>
      <c r="F20" s="10">
        <f>IF(COUNT('Per-Trial Data'!$H37:$J37)&gt;1,STDEV('Per-Trial Data'!$H37:$J37)/SQRT(COUNT('Per-Trial Data'!$H37:$J37)),0)</f>
        <v/>
      </c>
      <c r="G20" s="4">
        <f>AVERAGE('Per-Trial Data'!$K37:$M37)</f>
        <v/>
      </c>
      <c r="H20" s="10">
        <f>IF(COUNT('Per-Trial Data'!$K37:$M37)&gt;1,STDEV('Per-Trial Data'!$K37:$M37)/SQRT(COUNT('Per-Trial Data'!$K37:$M37)),0)</f>
        <v/>
      </c>
      <c r="I20" s="4">
        <f>G20-E20</f>
        <v/>
      </c>
      <c r="J20" s="10">
        <f>SQRT(F20^2+H20^2)</f>
        <v/>
      </c>
      <c r="K20" s="3" t="inlineStr"/>
      <c r="L20" s="4">
        <f>AVERAGE('Per-Trial Data'!$N37:$P37)</f>
        <v/>
      </c>
      <c r="M20" s="10">
        <f>IF(COUNT('Per-Trial Data'!$N37:$P37)&gt;1,STDEV('Per-Trial Data'!$N37:$P37)/SQRT(COUNT('Per-Trial Data'!$N37:$P37)),0)</f>
        <v/>
      </c>
      <c r="N20" s="4">
        <f>AVERAGE('Per-Trial Data'!$Q37:$S37)</f>
        <v/>
      </c>
      <c r="O20" s="10">
        <f>IF(COUNT('Per-Trial Data'!$Q37:$S37)&gt;1,STDEV('Per-Trial Data'!$Q37:$S37)/SQRT(COUNT('Per-Trial Data'!$Q37:$S37)),0)</f>
        <v/>
      </c>
      <c r="P20" s="4">
        <f>N20-L20</f>
        <v/>
      </c>
      <c r="Q20" s="10">
        <f>SQRT(M20^2+O20^2)</f>
        <v/>
      </c>
      <c r="R20" s="3" t="inlineStr"/>
      <c r="S20" s="3" t="inlineStr"/>
    </row>
    <row r="21">
      <c r="A21" s="3" t="inlineStr">
        <is>
          <t>5AAC</t>
        </is>
      </c>
      <c r="B21" s="3" t="inlineStr">
        <is>
          <t>Crizotinib</t>
        </is>
      </c>
      <c r="C21" s="3" t="inlineStr">
        <is>
          <t>ALK</t>
        </is>
      </c>
      <c r="D21" s="9">
        <f>AVERAGE('Per-Trial Data'!$E38:$G38)</f>
        <v/>
      </c>
      <c r="E21" s="4">
        <f>AVERAGE('Per-Trial Data'!$H38:$J38)</f>
        <v/>
      </c>
      <c r="F21" s="10">
        <f>IF(COUNT('Per-Trial Data'!$H38:$J38)&gt;1,STDEV('Per-Trial Data'!$H38:$J38)/SQRT(COUNT('Per-Trial Data'!$H38:$J38)),0)</f>
        <v/>
      </c>
      <c r="G21" s="4">
        <f>AVERAGE('Per-Trial Data'!$K38:$M38)</f>
        <v/>
      </c>
      <c r="H21" s="10">
        <f>IF(COUNT('Per-Trial Data'!$K38:$M38)&gt;1,STDEV('Per-Trial Data'!$K38:$M38)/SQRT(COUNT('Per-Trial Data'!$K38:$M38)),0)</f>
        <v/>
      </c>
      <c r="I21" s="4">
        <f>G21-E21</f>
        <v/>
      </c>
      <c r="J21" s="10">
        <f>SQRT(F21^2+H21^2)</f>
        <v/>
      </c>
      <c r="K21" s="3" t="inlineStr"/>
      <c r="L21" s="4">
        <f>AVERAGE('Per-Trial Data'!$N38:$P38)</f>
        <v/>
      </c>
      <c r="M21" s="10">
        <f>IF(COUNT('Per-Trial Data'!$N38:$P38)&gt;1,STDEV('Per-Trial Data'!$N38:$P38)/SQRT(COUNT('Per-Trial Data'!$N38:$P38)),0)</f>
        <v/>
      </c>
      <c r="N21" s="4">
        <f>AVERAGE('Per-Trial Data'!$Q38:$S38)</f>
        <v/>
      </c>
      <c r="O21" s="10">
        <f>IF(COUNT('Per-Trial Data'!$Q38:$S38)&gt;1,STDEV('Per-Trial Data'!$Q38:$S38)/SQRT(COUNT('Per-Trial Data'!$Q38:$S38)),0)</f>
        <v/>
      </c>
      <c r="P21" s="4">
        <f>N21-L21</f>
        <v/>
      </c>
      <c r="Q21" s="10">
        <f>SQRT(M21^2+O21^2)</f>
        <v/>
      </c>
      <c r="R21" s="3" t="inlineStr"/>
      <c r="S21" s="3" t="inlineStr"/>
    </row>
    <row r="22">
      <c r="A22" s="7" t="n"/>
      <c r="B22" s="8" t="inlineStr">
        <is>
          <t>CDK6: Cyclin Dependent Kinase 6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</row>
    <row r="23">
      <c r="A23" s="3" t="inlineStr">
        <is>
          <t>2EUF</t>
        </is>
      </c>
      <c r="B23" s="3" t="inlineStr">
        <is>
          <t>Palbociclib</t>
        </is>
      </c>
      <c r="C23" s="3" t="inlineStr">
        <is>
          <t>CDK6</t>
        </is>
      </c>
      <c r="D23" s="9">
        <f>AVERAGE('Per-Trial Data'!$E4:$G4)</f>
        <v/>
      </c>
      <c r="E23" s="4">
        <f>AVERAGE('Per-Trial Data'!$H4:$J4)</f>
        <v/>
      </c>
      <c r="F23" s="10">
        <f>IF(COUNT('Per-Trial Data'!$H4:$J4)&gt;1,STDEV('Per-Trial Data'!$H4:$J4)/SQRT(COUNT('Per-Trial Data'!$H4:$J4)),0)</f>
        <v/>
      </c>
      <c r="G23" s="4">
        <f>AVERAGE('Per-Trial Data'!$K4:$M4)</f>
        <v/>
      </c>
      <c r="H23" s="10">
        <f>IF(COUNT('Per-Trial Data'!$K4:$M4)&gt;1,STDEV('Per-Trial Data'!$K4:$M4)/SQRT(COUNT('Per-Trial Data'!$K4:$M4)),0)</f>
        <v/>
      </c>
      <c r="I23" s="4">
        <f>G23-E23</f>
        <v/>
      </c>
      <c r="J23" s="10">
        <f>SQRT(F23^2+H23^2)</f>
        <v/>
      </c>
      <c r="K23" s="3" t="inlineStr"/>
      <c r="L23" s="4">
        <f>AVERAGE('Per-Trial Data'!$N4:$P4)</f>
        <v/>
      </c>
      <c r="M23" s="10">
        <f>IF(COUNT('Per-Trial Data'!$N4:$P4)&gt;1,STDEV('Per-Trial Data'!$N4:$P4)/SQRT(COUNT('Per-Trial Data'!$N4:$P4)),0)</f>
        <v/>
      </c>
      <c r="N23" s="4">
        <f>AVERAGE('Per-Trial Data'!$Q4:$S4)</f>
        <v/>
      </c>
      <c r="O23" s="10">
        <f>IF(COUNT('Per-Trial Data'!$Q4:$S4)&gt;1,STDEV('Per-Trial Data'!$Q4:$S4)/SQRT(COUNT('Per-Trial Data'!$Q4:$S4)),0)</f>
        <v/>
      </c>
      <c r="P23" s="4">
        <f>N23-L23</f>
        <v/>
      </c>
      <c r="Q23" s="10">
        <f>SQRT(M23^2+O23^2)</f>
        <v/>
      </c>
      <c r="R23" s="3" t="inlineStr"/>
      <c r="S23" s="3" t="inlineStr"/>
    </row>
    <row r="24">
      <c r="A24" s="3" t="inlineStr">
        <is>
          <t>5L2I</t>
        </is>
      </c>
      <c r="B24" s="3" t="inlineStr">
        <is>
          <t>Palbociclib</t>
        </is>
      </c>
      <c r="C24" s="3" t="inlineStr">
        <is>
          <t>CDK6</t>
        </is>
      </c>
      <c r="D24" s="9">
        <f>AVERAGE('Per-Trial Data'!$E39:$G39)</f>
        <v/>
      </c>
      <c r="E24" s="4">
        <f>AVERAGE('Per-Trial Data'!$H39:$J39)</f>
        <v/>
      </c>
      <c r="F24" s="10">
        <f>IF(COUNT('Per-Trial Data'!$H39:$J39)&gt;1,STDEV('Per-Trial Data'!$H39:$J39)/SQRT(COUNT('Per-Trial Data'!$H39:$J39)),0)</f>
        <v/>
      </c>
      <c r="G24" s="4">
        <f>AVERAGE('Per-Trial Data'!$K39:$M39)</f>
        <v/>
      </c>
      <c r="H24" s="10">
        <f>IF(COUNT('Per-Trial Data'!$K39:$M39)&gt;1,STDEV('Per-Trial Data'!$K39:$M39)/SQRT(COUNT('Per-Trial Data'!$K39:$M39)),0)</f>
        <v/>
      </c>
      <c r="I24" s="4">
        <f>G24-E24</f>
        <v/>
      </c>
      <c r="J24" s="10">
        <f>SQRT(F24^2+H24^2)</f>
        <v/>
      </c>
      <c r="K24" s="3" t="inlineStr"/>
      <c r="L24" s="4">
        <f>AVERAGE('Per-Trial Data'!$N39:$P39)</f>
        <v/>
      </c>
      <c r="M24" s="10">
        <f>IF(COUNT('Per-Trial Data'!$N39:$P39)&gt;1,STDEV('Per-Trial Data'!$N39:$P39)/SQRT(COUNT('Per-Trial Data'!$N39:$P39)),0)</f>
        <v/>
      </c>
      <c r="N24" s="4">
        <f>AVERAGE('Per-Trial Data'!$Q39:$S39)</f>
        <v/>
      </c>
      <c r="O24" s="10">
        <f>IF(COUNT('Per-Trial Data'!$Q39:$S39)&gt;1,STDEV('Per-Trial Data'!$Q39:$S39)/SQRT(COUNT('Per-Trial Data'!$Q39:$S39)),0)</f>
        <v/>
      </c>
      <c r="P24" s="4">
        <f>N24-L24</f>
        <v/>
      </c>
      <c r="Q24" s="10">
        <f>SQRT(M24^2+O24^2)</f>
        <v/>
      </c>
      <c r="R24" s="3" t="inlineStr"/>
      <c r="S24" s="3" t="inlineStr"/>
    </row>
    <row r="25">
      <c r="A25" s="7" t="n"/>
      <c r="B25" s="8" t="inlineStr">
        <is>
          <t>DDR1: Discoidin Domain Receptor Tyrosine Kinase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</row>
    <row r="26">
      <c r="A26" s="3" t="inlineStr">
        <is>
          <t>3ZOS (buried)</t>
        </is>
      </c>
      <c r="B26" s="3" t="inlineStr">
        <is>
          <t>Ponatinib</t>
        </is>
      </c>
      <c r="C26" s="3" t="inlineStr">
        <is>
          <t>DDR1</t>
        </is>
      </c>
      <c r="D26" s="9">
        <f>AVERAGE('Per-Trial Data'!$E20:$G20)</f>
        <v/>
      </c>
      <c r="E26" s="4">
        <f>AVERAGE('Per-Trial Data'!$H20:$J20)</f>
        <v/>
      </c>
      <c r="F26" s="10">
        <f>IF(COUNT('Per-Trial Data'!$H20:$J20)&gt;1,STDEV('Per-Trial Data'!$H20:$J20)/SQRT(COUNT('Per-Trial Data'!$H20:$J20)),0)</f>
        <v/>
      </c>
      <c r="G26" s="4">
        <f>AVERAGE('Per-Trial Data'!$K20:$M20)</f>
        <v/>
      </c>
      <c r="H26" s="10">
        <f>IF(COUNT('Per-Trial Data'!$K20:$M20)&gt;1,STDEV('Per-Trial Data'!$K20:$M20)/SQRT(COUNT('Per-Trial Data'!$K20:$M20)),0)</f>
        <v/>
      </c>
      <c r="I26" s="4">
        <f>G26-E26</f>
        <v/>
      </c>
      <c r="J26" s="10">
        <f>SQRT(F26^2+H26^2)</f>
        <v/>
      </c>
      <c r="K26" s="3" t="inlineStr"/>
      <c r="L26" s="4">
        <f>AVERAGE('Per-Trial Data'!$N20:$P20)</f>
        <v/>
      </c>
      <c r="M26" s="10">
        <f>IF(COUNT('Per-Trial Data'!$N20:$P20)&gt;1,STDEV('Per-Trial Data'!$N20:$P20)/SQRT(COUNT('Per-Trial Data'!$N20:$P20)),0)</f>
        <v/>
      </c>
      <c r="N26" s="4">
        <f>AVERAGE('Per-Trial Data'!$Q20:$S20)</f>
        <v/>
      </c>
      <c r="O26" s="10">
        <f>IF(COUNT('Per-Trial Data'!$Q20:$S20)&gt;1,STDEV('Per-Trial Data'!$Q20:$S20)/SQRT(COUNT('Per-Trial Data'!$Q20:$S20)),0)</f>
        <v/>
      </c>
      <c r="P26" s="4">
        <f>N26-L26</f>
        <v/>
      </c>
      <c r="Q26" s="10">
        <f>SQRT(M26^2+O26^2)</f>
        <v/>
      </c>
      <c r="R26" s="3" t="inlineStr"/>
      <c r="S26" s="3" t="inlineStr"/>
    </row>
    <row r="27">
      <c r="A27" s="3" t="inlineStr">
        <is>
          <t>3ZOS (surface)</t>
        </is>
      </c>
      <c r="B27" s="3" t="inlineStr">
        <is>
          <t>Ponatinib</t>
        </is>
      </c>
      <c r="C27" s="3" t="inlineStr">
        <is>
          <t>DDR1</t>
        </is>
      </c>
      <c r="D27" s="9">
        <f>AVERAGE('Per-Trial Data'!$E21:$G21)</f>
        <v/>
      </c>
      <c r="E27" s="4">
        <f>AVERAGE('Per-Trial Data'!$H21:$J21)</f>
        <v/>
      </c>
      <c r="F27" s="10">
        <f>IF(COUNT('Per-Trial Data'!$H21:$J21)&gt;1,STDEV('Per-Trial Data'!$H21:$J21)/SQRT(COUNT('Per-Trial Data'!$H21:$J21)),0)</f>
        <v/>
      </c>
      <c r="G27" s="4">
        <f>AVERAGE('Per-Trial Data'!$K21:$M21)</f>
        <v/>
      </c>
      <c r="H27" s="10">
        <f>IF(COUNT('Per-Trial Data'!$K21:$M21)&gt;1,STDEV('Per-Trial Data'!$K21:$M21)/SQRT(COUNT('Per-Trial Data'!$K21:$M21)),0)</f>
        <v/>
      </c>
      <c r="I27" s="4">
        <f>G27-E27</f>
        <v/>
      </c>
      <c r="J27" s="10">
        <f>SQRT(F27^2+H27^2)</f>
        <v/>
      </c>
      <c r="K27" s="3" t="inlineStr"/>
      <c r="L27" s="4">
        <f>AVERAGE('Per-Trial Data'!$N21:$P21)</f>
        <v/>
      </c>
      <c r="M27" s="10">
        <f>IF(COUNT('Per-Trial Data'!$N21:$P21)&gt;1,STDEV('Per-Trial Data'!$N21:$P21)/SQRT(COUNT('Per-Trial Data'!$N21:$P21)),0)</f>
        <v/>
      </c>
      <c r="N27" s="4">
        <f>AVERAGE('Per-Trial Data'!$Q21:$S21)</f>
        <v/>
      </c>
      <c r="O27" s="10">
        <f>IF(COUNT('Per-Trial Data'!$Q21:$S21)&gt;1,STDEV('Per-Trial Data'!$Q21:$S21)/SQRT(COUNT('Per-Trial Data'!$Q21:$S21)),0)</f>
        <v/>
      </c>
      <c r="P27" s="4">
        <f>N27-L27</f>
        <v/>
      </c>
      <c r="Q27" s="10">
        <f>SQRT(M27^2+O27^2)</f>
        <v/>
      </c>
      <c r="R27" s="3" t="inlineStr"/>
      <c r="S27" s="3" t="inlineStr"/>
    </row>
    <row r="28">
      <c r="A28" s="7" t="n"/>
      <c r="B28" s="8" t="inlineStr">
        <is>
          <t>EGFR: Epidermal Growth Factor Receptor Kinase</t>
        </is>
      </c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</row>
    <row r="29">
      <c r="A29" s="3" t="inlineStr">
        <is>
          <t>4G5J</t>
        </is>
      </c>
      <c r="B29" s="3" t="inlineStr">
        <is>
          <t>Afatinib</t>
        </is>
      </c>
      <c r="C29" s="3" t="inlineStr">
        <is>
          <t>EGFR</t>
        </is>
      </c>
      <c r="D29" s="9">
        <f>AVERAGE('Per-Trial Data'!$E29:$G29)</f>
        <v/>
      </c>
      <c r="E29" s="4">
        <f>AVERAGE('Per-Trial Data'!$H29:$J29)</f>
        <v/>
      </c>
      <c r="F29" s="10">
        <f>IF(COUNT('Per-Trial Data'!$H29:$J29)&gt;1,STDEV('Per-Trial Data'!$H29:$J29)/SQRT(COUNT('Per-Trial Data'!$H29:$J29)),0)</f>
        <v/>
      </c>
      <c r="G29" s="4">
        <f>AVERAGE('Per-Trial Data'!$K29:$M29)</f>
        <v/>
      </c>
      <c r="H29" s="10">
        <f>IF(COUNT('Per-Trial Data'!$K29:$M29)&gt;1,STDEV('Per-Trial Data'!$K29:$M29)/SQRT(COUNT('Per-Trial Data'!$K29:$M29)),0)</f>
        <v/>
      </c>
      <c r="I29" s="4">
        <f>G29-E29</f>
        <v/>
      </c>
      <c r="J29" s="10">
        <f>SQRT(F29^2+H29^2)</f>
        <v/>
      </c>
      <c r="K29" s="3" t="inlineStr"/>
      <c r="L29" s="4">
        <f>AVERAGE('Per-Trial Data'!$N29:$P29)</f>
        <v/>
      </c>
      <c r="M29" s="10">
        <f>IF(COUNT('Per-Trial Data'!$N29:$P29)&gt;1,STDEV('Per-Trial Data'!$N29:$P29)/SQRT(COUNT('Per-Trial Data'!$N29:$P29)),0)</f>
        <v/>
      </c>
      <c r="N29" s="4">
        <f>AVERAGE('Per-Trial Data'!$Q29:$S29)</f>
        <v/>
      </c>
      <c r="O29" s="10">
        <f>IF(COUNT('Per-Trial Data'!$Q29:$S29)&gt;1,STDEV('Per-Trial Data'!$Q29:$S29)/SQRT(COUNT('Per-Trial Data'!$Q29:$S29)),0)</f>
        <v/>
      </c>
      <c r="P29" s="4">
        <f>N29-L29</f>
        <v/>
      </c>
      <c r="Q29" s="10">
        <f>SQRT(M29^2+O29^2)</f>
        <v/>
      </c>
      <c r="R29" s="3" t="inlineStr"/>
      <c r="S29" s="3" t="inlineStr"/>
    </row>
    <row r="30">
      <c r="A30" s="3" t="inlineStr">
        <is>
          <t>4G5P</t>
        </is>
      </c>
      <c r="B30" s="3" t="inlineStr">
        <is>
          <t>Afatinib</t>
        </is>
      </c>
      <c r="C30" s="3" t="inlineStr">
        <is>
          <t>EGFR</t>
        </is>
      </c>
      <c r="D30" s="9">
        <f>AVERAGE('Per-Trial Data'!$E30:$G30)</f>
        <v/>
      </c>
      <c r="E30" s="4">
        <f>AVERAGE('Per-Trial Data'!$H30:$J30)</f>
        <v/>
      </c>
      <c r="F30" s="10">
        <f>IF(COUNT('Per-Trial Data'!$H30:$J30)&gt;1,STDEV('Per-Trial Data'!$H30:$J30)/SQRT(COUNT('Per-Trial Data'!$H30:$J30)),0)</f>
        <v/>
      </c>
      <c r="G30" s="4">
        <f>AVERAGE('Per-Trial Data'!$K30:$M30)</f>
        <v/>
      </c>
      <c r="H30" s="10">
        <f>IF(COUNT('Per-Trial Data'!$K30:$M30)&gt;1,STDEV('Per-Trial Data'!$K30:$M30)/SQRT(COUNT('Per-Trial Data'!$K30:$M30)),0)</f>
        <v/>
      </c>
      <c r="I30" s="4">
        <f>G30-E30</f>
        <v/>
      </c>
      <c r="J30" s="10">
        <f>SQRT(F30^2+H30^2)</f>
        <v/>
      </c>
      <c r="K30" s="3" t="inlineStr"/>
      <c r="L30" s="4">
        <f>AVERAGE('Per-Trial Data'!$N30:$P30)</f>
        <v/>
      </c>
      <c r="M30" s="10">
        <f>IF(COUNT('Per-Trial Data'!$N30:$P30)&gt;1,STDEV('Per-Trial Data'!$N30:$P30)/SQRT(COUNT('Per-Trial Data'!$N30:$P30)),0)</f>
        <v/>
      </c>
      <c r="N30" s="4">
        <f>AVERAGE('Per-Trial Data'!$Q30:$S30)</f>
        <v/>
      </c>
      <c r="O30" s="10">
        <f>IF(COUNT('Per-Trial Data'!$Q30:$S30)&gt;1,STDEV('Per-Trial Data'!$Q30:$S30)/SQRT(COUNT('Per-Trial Data'!$Q30:$S30)),0)</f>
        <v/>
      </c>
      <c r="P30" s="4">
        <f>N30-L30</f>
        <v/>
      </c>
      <c r="Q30" s="10">
        <f>SQRT(M30^2+O30^2)</f>
        <v/>
      </c>
      <c r="R30" s="3" t="inlineStr"/>
      <c r="S30" s="3" t="inlineStr"/>
    </row>
    <row r="31">
      <c r="A31" s="3" t="inlineStr">
        <is>
          <t>2ITO</t>
        </is>
      </c>
      <c r="B31" s="3" t="inlineStr">
        <is>
          <t>Gefitinib</t>
        </is>
      </c>
      <c r="C31" s="3" t="inlineStr">
        <is>
          <t>EGFR</t>
        </is>
      </c>
      <c r="D31" s="9">
        <f>AVERAGE('Per-Trial Data'!$E6:$G6)</f>
        <v/>
      </c>
      <c r="E31" s="4">
        <f>AVERAGE('Per-Trial Data'!$H6:$J6)</f>
        <v/>
      </c>
      <c r="F31" s="10">
        <f>IF(COUNT('Per-Trial Data'!$H6:$J6)&gt;1,STDEV('Per-Trial Data'!$H6:$J6)/SQRT(COUNT('Per-Trial Data'!$H6:$J6)),0)</f>
        <v/>
      </c>
      <c r="G31" s="4">
        <f>AVERAGE('Per-Trial Data'!$K6:$M6)</f>
        <v/>
      </c>
      <c r="H31" s="10">
        <f>IF(COUNT('Per-Trial Data'!$K6:$M6)&gt;1,STDEV('Per-Trial Data'!$K6:$M6)/SQRT(COUNT('Per-Trial Data'!$K6:$M6)),0)</f>
        <v/>
      </c>
      <c r="I31" s="4">
        <f>G31-E31</f>
        <v/>
      </c>
      <c r="J31" s="10">
        <f>SQRT(F31^2+H31^2)</f>
        <v/>
      </c>
      <c r="K31" s="3" t="inlineStr"/>
      <c r="L31" s="4">
        <f>AVERAGE('Per-Trial Data'!$N6:$P6)</f>
        <v/>
      </c>
      <c r="M31" s="10">
        <f>IF(COUNT('Per-Trial Data'!$N6:$P6)&gt;1,STDEV('Per-Trial Data'!$N6:$P6)/SQRT(COUNT('Per-Trial Data'!$N6:$P6)),0)</f>
        <v/>
      </c>
      <c r="N31" s="4">
        <f>AVERAGE('Per-Trial Data'!$Q6:$S6)</f>
        <v/>
      </c>
      <c r="O31" s="10">
        <f>IF(COUNT('Per-Trial Data'!$Q6:$S6)&gt;1,STDEV('Per-Trial Data'!$Q6:$S6)/SQRT(COUNT('Per-Trial Data'!$Q6:$S6)),0)</f>
        <v/>
      </c>
      <c r="P31" s="4">
        <f>N31-L31</f>
        <v/>
      </c>
      <c r="Q31" s="10">
        <f>SQRT(M31^2+O31^2)</f>
        <v/>
      </c>
      <c r="R31" s="3" t="inlineStr"/>
      <c r="S31" s="3" t="inlineStr"/>
    </row>
    <row r="32">
      <c r="A32" s="3" t="inlineStr">
        <is>
          <t>2ITY</t>
        </is>
      </c>
      <c r="B32" s="3" t="inlineStr">
        <is>
          <t>Gefitinib</t>
        </is>
      </c>
      <c r="C32" s="3" t="inlineStr">
        <is>
          <t>EGFR</t>
        </is>
      </c>
      <c r="D32" s="9">
        <f>AVERAGE('Per-Trial Data'!$E7:$G7)</f>
        <v/>
      </c>
      <c r="E32" s="4">
        <f>AVERAGE('Per-Trial Data'!$H7:$J7)</f>
        <v/>
      </c>
      <c r="F32" s="10">
        <f>IF(COUNT('Per-Trial Data'!$H7:$J7)&gt;1,STDEV('Per-Trial Data'!$H7:$J7)/SQRT(COUNT('Per-Trial Data'!$H7:$J7)),0)</f>
        <v/>
      </c>
      <c r="G32" s="4">
        <f>AVERAGE('Per-Trial Data'!$K7:$M7)</f>
        <v/>
      </c>
      <c r="H32" s="10">
        <f>IF(COUNT('Per-Trial Data'!$K7:$M7)&gt;1,STDEV('Per-Trial Data'!$K7:$M7)/SQRT(COUNT('Per-Trial Data'!$K7:$M7)),0)</f>
        <v/>
      </c>
      <c r="I32" s="4">
        <f>G32-E32</f>
        <v/>
      </c>
      <c r="J32" s="10">
        <f>SQRT(F32^2+H32^2)</f>
        <v/>
      </c>
      <c r="K32" s="3" t="inlineStr"/>
      <c r="L32" s="4">
        <f>AVERAGE('Per-Trial Data'!$N7:$P7)</f>
        <v/>
      </c>
      <c r="M32" s="10">
        <f>IF(COUNT('Per-Trial Data'!$N7:$P7)&gt;1,STDEV('Per-Trial Data'!$N7:$P7)/SQRT(COUNT('Per-Trial Data'!$N7:$P7)),0)</f>
        <v/>
      </c>
      <c r="N32" s="4">
        <f>AVERAGE('Per-Trial Data'!$Q7:$S7)</f>
        <v/>
      </c>
      <c r="O32" s="10">
        <f>IF(COUNT('Per-Trial Data'!$Q7:$S7)&gt;1,STDEV('Per-Trial Data'!$Q7:$S7)/SQRT(COUNT('Per-Trial Data'!$Q7:$S7)),0)</f>
        <v/>
      </c>
      <c r="P32" s="4">
        <f>N32-L32</f>
        <v/>
      </c>
      <c r="Q32" s="10">
        <f>SQRT(M32^2+O32^2)</f>
        <v/>
      </c>
      <c r="R32" s="3" t="inlineStr"/>
      <c r="S32" s="3" t="inlineStr"/>
    </row>
    <row r="33">
      <c r="A33" s="3" t="inlineStr">
        <is>
          <t>2ITZ</t>
        </is>
      </c>
      <c r="B33" s="3" t="inlineStr">
        <is>
          <t>Gefitinib</t>
        </is>
      </c>
      <c r="C33" s="3" t="inlineStr">
        <is>
          <t>EGFR</t>
        </is>
      </c>
      <c r="D33" s="9">
        <f>AVERAGE('Per-Trial Data'!$E8:$G8)</f>
        <v/>
      </c>
      <c r="E33" s="4">
        <f>AVERAGE('Per-Trial Data'!$H8:$J8)</f>
        <v/>
      </c>
      <c r="F33" s="10">
        <f>IF(COUNT('Per-Trial Data'!$H8:$J8)&gt;1,STDEV('Per-Trial Data'!$H8:$J8)/SQRT(COUNT('Per-Trial Data'!$H8:$J8)),0)</f>
        <v/>
      </c>
      <c r="G33" s="4">
        <f>AVERAGE('Per-Trial Data'!$K8:$M8)</f>
        <v/>
      </c>
      <c r="H33" s="10">
        <f>IF(COUNT('Per-Trial Data'!$K8:$M8)&gt;1,STDEV('Per-Trial Data'!$K8:$M8)/SQRT(COUNT('Per-Trial Data'!$K8:$M8)),0)</f>
        <v/>
      </c>
      <c r="I33" s="4">
        <f>G33-E33</f>
        <v/>
      </c>
      <c r="J33" s="10">
        <f>SQRT(F33^2+H33^2)</f>
        <v/>
      </c>
      <c r="K33" s="3" t="inlineStr"/>
      <c r="L33" s="4">
        <f>AVERAGE('Per-Trial Data'!$N8:$P8)</f>
        <v/>
      </c>
      <c r="M33" s="10">
        <f>IF(COUNT('Per-Trial Data'!$N8:$P8)&gt;1,STDEV('Per-Trial Data'!$N8:$P8)/SQRT(COUNT('Per-Trial Data'!$N8:$P8)),0)</f>
        <v/>
      </c>
      <c r="N33" s="4">
        <f>AVERAGE('Per-Trial Data'!$Q8:$S8)</f>
        <v/>
      </c>
      <c r="O33" s="10">
        <f>IF(COUNT('Per-Trial Data'!$Q8:$S8)&gt;1,STDEV('Per-Trial Data'!$Q8:$S8)/SQRT(COUNT('Per-Trial Data'!$Q8:$S8)),0)</f>
        <v/>
      </c>
      <c r="P33" s="4">
        <f>N33-L33</f>
        <v/>
      </c>
      <c r="Q33" s="10">
        <f>SQRT(M33^2+O33^2)</f>
        <v/>
      </c>
      <c r="R33" s="3" t="inlineStr"/>
      <c r="S33" s="3" t="inlineStr"/>
    </row>
    <row r="34">
      <c r="A34" s="3" t="inlineStr">
        <is>
          <t>3UG2</t>
        </is>
      </c>
      <c r="B34" s="3" t="inlineStr">
        <is>
          <t>Gefitinib</t>
        </is>
      </c>
      <c r="C34" s="3" t="inlineStr">
        <is>
          <t>EGFR</t>
        </is>
      </c>
      <c r="D34" s="9">
        <f>AVERAGE('Per-Trial Data'!$E17:$G17)</f>
        <v/>
      </c>
      <c r="E34" s="4">
        <f>AVERAGE('Per-Trial Data'!$H17:$J17)</f>
        <v/>
      </c>
      <c r="F34" s="10">
        <f>IF(COUNT('Per-Trial Data'!$H17:$J17)&gt;1,STDEV('Per-Trial Data'!$H17:$J17)/SQRT(COUNT('Per-Trial Data'!$H17:$J17)),0)</f>
        <v/>
      </c>
      <c r="G34" s="4">
        <f>AVERAGE('Per-Trial Data'!$K17:$M17)</f>
        <v/>
      </c>
      <c r="H34" s="10">
        <f>IF(COUNT('Per-Trial Data'!$K17:$M17)&gt;1,STDEV('Per-Trial Data'!$K17:$M17)/SQRT(COUNT('Per-Trial Data'!$K17:$M17)),0)</f>
        <v/>
      </c>
      <c r="I34" s="4">
        <f>G34-E34</f>
        <v/>
      </c>
      <c r="J34" s="10">
        <f>SQRT(F34^2+H34^2)</f>
        <v/>
      </c>
      <c r="K34" s="3" t="inlineStr"/>
      <c r="L34" s="4">
        <f>AVERAGE('Per-Trial Data'!$N17:$P17)</f>
        <v/>
      </c>
      <c r="M34" s="10">
        <f>IF(COUNT('Per-Trial Data'!$N17:$P17)&gt;1,STDEV('Per-Trial Data'!$N17:$P17)/SQRT(COUNT('Per-Trial Data'!$N17:$P17)),0)</f>
        <v/>
      </c>
      <c r="N34" s="4">
        <f>AVERAGE('Per-Trial Data'!$Q17:$S17)</f>
        <v/>
      </c>
      <c r="O34" s="10">
        <f>IF(COUNT('Per-Trial Data'!$Q17:$S17)&gt;1,STDEV('Per-Trial Data'!$Q17:$S17)/SQRT(COUNT('Per-Trial Data'!$Q17:$S17)),0)</f>
        <v/>
      </c>
      <c r="P34" s="4">
        <f>N34-L34</f>
        <v/>
      </c>
      <c r="Q34" s="10">
        <f>SQRT(M34^2+O34^2)</f>
        <v/>
      </c>
      <c r="R34" s="3" t="inlineStr"/>
      <c r="S34" s="3" t="inlineStr"/>
    </row>
    <row r="35">
      <c r="A35" s="3" t="inlineStr">
        <is>
          <t>4I22</t>
        </is>
      </c>
      <c r="B35" s="3" t="inlineStr">
        <is>
          <t>Gefitinib</t>
        </is>
      </c>
      <c r="C35" s="3" t="inlineStr">
        <is>
          <t>EGFR</t>
        </is>
      </c>
      <c r="D35" s="9">
        <f>AVERAGE('Per-Trial Data'!$E31:$G31)</f>
        <v/>
      </c>
      <c r="E35" s="4">
        <f>AVERAGE('Per-Trial Data'!$H31:$J31)</f>
        <v/>
      </c>
      <c r="F35" s="10">
        <f>IF(COUNT('Per-Trial Data'!$H31:$J31)&gt;1,STDEV('Per-Trial Data'!$H31:$J31)/SQRT(COUNT('Per-Trial Data'!$H31:$J31)),0)</f>
        <v/>
      </c>
      <c r="G35" s="4">
        <f>AVERAGE('Per-Trial Data'!$K31:$M31)</f>
        <v/>
      </c>
      <c r="H35" s="10">
        <f>IF(COUNT('Per-Trial Data'!$K31:$M31)&gt;1,STDEV('Per-Trial Data'!$K31:$M31)/SQRT(COUNT('Per-Trial Data'!$K31:$M31)),0)</f>
        <v/>
      </c>
      <c r="I35" s="4">
        <f>G35-E35</f>
        <v/>
      </c>
      <c r="J35" s="10">
        <f>SQRT(F35^2+H35^2)</f>
        <v/>
      </c>
      <c r="K35" s="3" t="inlineStr"/>
      <c r="L35" s="4">
        <f>AVERAGE('Per-Trial Data'!$N31:$P31)</f>
        <v/>
      </c>
      <c r="M35" s="10">
        <f>IF(COUNT('Per-Trial Data'!$N31:$P31)&gt;1,STDEV('Per-Trial Data'!$N31:$P31)/SQRT(COUNT('Per-Trial Data'!$N31:$P31)),0)</f>
        <v/>
      </c>
      <c r="N35" s="4">
        <f>AVERAGE('Per-Trial Data'!$Q31:$S31)</f>
        <v/>
      </c>
      <c r="O35" s="10">
        <f>IF(COUNT('Per-Trial Data'!$Q31:$S31)&gt;1,STDEV('Per-Trial Data'!$Q31:$S31)/SQRT(COUNT('Per-Trial Data'!$Q31:$S31)),0)</f>
        <v/>
      </c>
      <c r="P35" s="4">
        <f>N35-L35</f>
        <v/>
      </c>
      <c r="Q35" s="10">
        <f>SQRT(M35^2+O35^2)</f>
        <v/>
      </c>
      <c r="R35" s="3" t="inlineStr"/>
      <c r="S35" s="3" t="inlineStr"/>
    </row>
    <row r="36">
      <c r="A36" s="3" t="inlineStr">
        <is>
          <t>4WKQ</t>
        </is>
      </c>
      <c r="B36" s="3" t="inlineStr">
        <is>
          <t>Gefitinib</t>
        </is>
      </c>
      <c r="C36" s="3" t="inlineStr">
        <is>
          <t>EGFR</t>
        </is>
      </c>
      <c r="D36" s="9">
        <f>AVERAGE('Per-Trial Data'!$E34:$G34)</f>
        <v/>
      </c>
      <c r="E36" s="4">
        <f>AVERAGE('Per-Trial Data'!$H34:$J34)</f>
        <v/>
      </c>
      <c r="F36" s="10">
        <f>IF(COUNT('Per-Trial Data'!$H34:$J34)&gt;1,STDEV('Per-Trial Data'!$H34:$J34)/SQRT(COUNT('Per-Trial Data'!$H34:$J34)),0)</f>
        <v/>
      </c>
      <c r="G36" s="4">
        <f>AVERAGE('Per-Trial Data'!$K34:$M34)</f>
        <v/>
      </c>
      <c r="H36" s="10">
        <f>IF(COUNT('Per-Trial Data'!$K34:$M34)&gt;1,STDEV('Per-Trial Data'!$K34:$M34)/SQRT(COUNT('Per-Trial Data'!$K34:$M34)),0)</f>
        <v/>
      </c>
      <c r="I36" s="4">
        <f>G36-E36</f>
        <v/>
      </c>
      <c r="J36" s="10">
        <f>SQRT(F36^2+H36^2)</f>
        <v/>
      </c>
      <c r="K36" s="3" t="inlineStr"/>
      <c r="L36" s="4">
        <f>AVERAGE('Per-Trial Data'!$N34:$P34)</f>
        <v/>
      </c>
      <c r="M36" s="10">
        <f>IF(COUNT('Per-Trial Data'!$N34:$P34)&gt;1,STDEV('Per-Trial Data'!$N34:$P34)/SQRT(COUNT('Per-Trial Data'!$N34:$P34)),0)</f>
        <v/>
      </c>
      <c r="N36" s="4">
        <f>AVERAGE('Per-Trial Data'!$Q34:$S34)</f>
        <v/>
      </c>
      <c r="O36" s="10">
        <f>IF(COUNT('Per-Trial Data'!$Q34:$S34)&gt;1,STDEV('Per-Trial Data'!$Q34:$S34)/SQRT(COUNT('Per-Trial Data'!$Q34:$S34)),0)</f>
        <v/>
      </c>
      <c r="P36" s="4">
        <f>N36-L36</f>
        <v/>
      </c>
      <c r="Q36" s="10">
        <f>SQRT(M36^2+O36^2)</f>
        <v/>
      </c>
      <c r="R36" s="3" t="inlineStr"/>
      <c r="S36" s="3" t="inlineStr"/>
    </row>
    <row r="37">
      <c r="A37" s="3" t="inlineStr">
        <is>
          <t>1XKK</t>
        </is>
      </c>
      <c r="B37" s="3" t="inlineStr">
        <is>
          <t>Lapatinib</t>
        </is>
      </c>
      <c r="C37" s="3" t="inlineStr">
        <is>
          <t>EGFR</t>
        </is>
      </c>
      <c r="D37" s="9">
        <f>AVERAGE('Per-Trial Data'!$E3:$G3)</f>
        <v/>
      </c>
      <c r="E37" s="4">
        <f>AVERAGE('Per-Trial Data'!$H3:$J3)</f>
        <v/>
      </c>
      <c r="F37" s="10">
        <f>IF(COUNT('Per-Trial Data'!$H3:$J3)&gt;1,STDEV('Per-Trial Data'!$H3:$J3)/SQRT(COUNT('Per-Trial Data'!$H3:$J3)),0)</f>
        <v/>
      </c>
      <c r="G37" s="4">
        <f>AVERAGE('Per-Trial Data'!$K3:$M3)</f>
        <v/>
      </c>
      <c r="H37" s="10">
        <f>IF(COUNT('Per-Trial Data'!$K3:$M3)&gt;1,STDEV('Per-Trial Data'!$K3:$M3)/SQRT(COUNT('Per-Trial Data'!$K3:$M3)),0)</f>
        <v/>
      </c>
      <c r="I37" s="4">
        <f>G37-E37</f>
        <v/>
      </c>
      <c r="J37" s="10">
        <f>SQRT(F37^2+H37^2)</f>
        <v/>
      </c>
      <c r="K37" s="3" t="inlineStr"/>
      <c r="L37" s="4">
        <f>AVERAGE('Per-Trial Data'!$N3:$P3)</f>
        <v/>
      </c>
      <c r="M37" s="10">
        <f>IF(COUNT('Per-Trial Data'!$N3:$P3)&gt;1,STDEV('Per-Trial Data'!$N3:$P3)/SQRT(COUNT('Per-Trial Data'!$N3:$P3)),0)</f>
        <v/>
      </c>
      <c r="N37" s="4">
        <f>AVERAGE('Per-Trial Data'!$Q3:$S3)</f>
        <v/>
      </c>
      <c r="O37" s="10">
        <f>IF(COUNT('Per-Trial Data'!$Q3:$S3)&gt;1,STDEV('Per-Trial Data'!$Q3:$S3)/SQRT(COUNT('Per-Trial Data'!$Q3:$S3)),0)</f>
        <v/>
      </c>
      <c r="P37" s="4">
        <f>N37-L37</f>
        <v/>
      </c>
      <c r="Q37" s="10">
        <f>SQRT(M37^2+O37^2)</f>
        <v/>
      </c>
      <c r="R37" s="3" t="inlineStr"/>
      <c r="S37" s="3" t="inlineStr"/>
    </row>
    <row r="38">
      <c r="A38" s="3" t="inlineStr">
        <is>
          <t>4ZAU</t>
        </is>
      </c>
      <c r="B38" s="3" t="inlineStr">
        <is>
          <t>Osimertinib</t>
        </is>
      </c>
      <c r="C38" s="3" t="inlineStr">
        <is>
          <t>EGFR</t>
        </is>
      </c>
      <c r="D38" s="9">
        <f>AVERAGE('Per-Trial Data'!$E35:$G35)</f>
        <v/>
      </c>
      <c r="E38" s="4">
        <f>AVERAGE('Per-Trial Data'!$H35:$J35)</f>
        <v/>
      </c>
      <c r="F38" s="10">
        <f>IF(COUNT('Per-Trial Data'!$H35:$J35)&gt;1,STDEV('Per-Trial Data'!$H35:$J35)/SQRT(COUNT('Per-Trial Data'!$H35:$J35)),0)</f>
        <v/>
      </c>
      <c r="G38" s="4">
        <f>AVERAGE('Per-Trial Data'!$K35:$M35)</f>
        <v/>
      </c>
      <c r="H38" s="10">
        <f>IF(COUNT('Per-Trial Data'!$K35:$M35)&gt;1,STDEV('Per-Trial Data'!$K35:$M35)/SQRT(COUNT('Per-Trial Data'!$K35:$M35)),0)</f>
        <v/>
      </c>
      <c r="I38" s="4">
        <f>G38-E38</f>
        <v/>
      </c>
      <c r="J38" s="10">
        <f>SQRT(F38^2+H38^2)</f>
        <v/>
      </c>
      <c r="K38" s="3" t="inlineStr"/>
      <c r="L38" s="4">
        <f>AVERAGE('Per-Trial Data'!$N35:$P35)</f>
        <v/>
      </c>
      <c r="M38" s="10">
        <f>IF(COUNT('Per-Trial Data'!$N35:$P35)&gt;1,STDEV('Per-Trial Data'!$N35:$P35)/SQRT(COUNT('Per-Trial Data'!$N35:$P35)),0)</f>
        <v/>
      </c>
      <c r="N38" s="4">
        <f>AVERAGE('Per-Trial Data'!$Q35:$S35)</f>
        <v/>
      </c>
      <c r="O38" s="10">
        <f>IF(COUNT('Per-Trial Data'!$Q35:$S35)&gt;1,STDEV('Per-Trial Data'!$Q35:$S35)/SQRT(COUNT('Per-Trial Data'!$Q35:$S35)),0)</f>
        <v/>
      </c>
      <c r="P38" s="4">
        <f>N38-L38</f>
        <v/>
      </c>
      <c r="Q38" s="10">
        <f>SQRT(M38^2+O38^2)</f>
        <v/>
      </c>
      <c r="R38" s="3" t="inlineStr"/>
      <c r="S38" s="3" t="inlineStr"/>
    </row>
    <row r="39">
      <c r="A39" s="7" t="n"/>
      <c r="B39" s="8" t="inlineStr">
        <is>
          <t>JAK3: Janus Kinase 3</t>
        </is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</row>
    <row r="40">
      <c r="A40" s="3" t="inlineStr">
        <is>
          <t>3LXK</t>
        </is>
      </c>
      <c r="B40" s="3" t="inlineStr">
        <is>
          <t>Tofacitinib</t>
        </is>
      </c>
      <c r="C40" s="3" t="inlineStr">
        <is>
          <t>JAK3</t>
        </is>
      </c>
      <c r="D40" s="9">
        <f>AVERAGE('Per-Trial Data'!$E14:$G14)</f>
        <v/>
      </c>
      <c r="E40" s="4">
        <f>AVERAGE('Per-Trial Data'!$H14:$J14)</f>
        <v/>
      </c>
      <c r="F40" s="10">
        <f>IF(COUNT('Per-Trial Data'!$H14:$J14)&gt;1,STDEV('Per-Trial Data'!$H14:$J14)/SQRT(COUNT('Per-Trial Data'!$H14:$J14)),0)</f>
        <v/>
      </c>
      <c r="G40" s="4">
        <f>AVERAGE('Per-Trial Data'!$K14:$M14)</f>
        <v/>
      </c>
      <c r="H40" s="10">
        <f>IF(COUNT('Per-Trial Data'!$K14:$M14)&gt;1,STDEV('Per-Trial Data'!$K14:$M14)/SQRT(COUNT('Per-Trial Data'!$K14:$M14)),0)</f>
        <v/>
      </c>
      <c r="I40" s="4">
        <f>G40-E40</f>
        <v/>
      </c>
      <c r="J40" s="10">
        <f>SQRT(F40^2+H40^2)</f>
        <v/>
      </c>
      <c r="K40" s="3" t="inlineStr"/>
      <c r="L40" s="4">
        <f>AVERAGE('Per-Trial Data'!$N14:$P14)</f>
        <v/>
      </c>
      <c r="M40" s="10">
        <f>IF(COUNT('Per-Trial Data'!$N14:$P14)&gt;1,STDEV('Per-Trial Data'!$N14:$P14)/SQRT(COUNT('Per-Trial Data'!$N14:$P14)),0)</f>
        <v/>
      </c>
      <c r="N40" s="4">
        <f>AVERAGE('Per-Trial Data'!$Q14:$S14)</f>
        <v/>
      </c>
      <c r="O40" s="10">
        <f>IF(COUNT('Per-Trial Data'!$Q14:$S14)&gt;1,STDEV('Per-Trial Data'!$Q14:$S14)/SQRT(COUNT('Per-Trial Data'!$Q14:$S14)),0)</f>
        <v/>
      </c>
      <c r="P40" s="4">
        <f>N40-L40</f>
        <v/>
      </c>
      <c r="Q40" s="10">
        <f>SQRT(M40^2+O40^2)</f>
        <v/>
      </c>
      <c r="R40" s="3" t="inlineStr"/>
      <c r="S40" s="3" t="inlineStr"/>
    </row>
    <row r="41">
      <c r="A41" s="7" t="n"/>
      <c r="B41" s="8" t="inlineStr">
        <is>
          <t>MEK: Mitogen-Activated Protein Kinase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</row>
    <row r="42">
      <c r="A42" s="3" t="inlineStr">
        <is>
          <t>4AN2</t>
        </is>
      </c>
      <c r="B42" s="3" t="inlineStr">
        <is>
          <t>Cobimetinib</t>
        </is>
      </c>
      <c r="C42" s="3" t="inlineStr">
        <is>
          <t>MEK</t>
        </is>
      </c>
      <c r="D42" s="9">
        <f>AVERAGE('Per-Trial Data'!$E25:$G25)</f>
        <v/>
      </c>
      <c r="E42" s="4">
        <f>AVERAGE('Per-Trial Data'!$H25:$J25)</f>
        <v/>
      </c>
      <c r="F42" s="10">
        <f>IF(COUNT('Per-Trial Data'!$H25:$J25)&gt;1,STDEV('Per-Trial Data'!$H25:$J25)/SQRT(COUNT('Per-Trial Data'!$H25:$J25)),0)</f>
        <v/>
      </c>
      <c r="G42" s="4">
        <f>AVERAGE('Per-Trial Data'!$K25:$M25)</f>
        <v/>
      </c>
      <c r="H42" s="10">
        <f>IF(COUNT('Per-Trial Data'!$K25:$M25)&gt;1,STDEV('Per-Trial Data'!$K25:$M25)/SQRT(COUNT('Per-Trial Data'!$K25:$M25)),0)</f>
        <v/>
      </c>
      <c r="I42" s="4">
        <f>G42-E42</f>
        <v/>
      </c>
      <c r="J42" s="10">
        <f>SQRT(F42^2+H42^2)</f>
        <v/>
      </c>
      <c r="K42" s="3" t="inlineStr"/>
      <c r="L42" s="4">
        <f>AVERAGE('Per-Trial Data'!$N25:$P25)</f>
        <v/>
      </c>
      <c r="M42" s="10">
        <f>IF(COUNT('Per-Trial Data'!$N25:$P25)&gt;1,STDEV('Per-Trial Data'!$N25:$P25)/SQRT(COUNT('Per-Trial Data'!$N25:$P25)),0)</f>
        <v/>
      </c>
      <c r="N42" s="4">
        <f>AVERAGE('Per-Trial Data'!$Q25:$S25)</f>
        <v/>
      </c>
      <c r="O42" s="10">
        <f>IF(COUNT('Per-Trial Data'!$Q25:$S25)&gt;1,STDEV('Per-Trial Data'!$Q25:$S25)/SQRT(COUNT('Per-Trial Data'!$Q25:$S25)),0)</f>
        <v/>
      </c>
      <c r="P42" s="4">
        <f>N42-L42</f>
        <v/>
      </c>
      <c r="Q42" s="10">
        <f>SQRT(M42^2+O42^2)</f>
        <v/>
      </c>
      <c r="R42" s="3" t="inlineStr"/>
      <c r="S42" s="3" t="inlineStr"/>
    </row>
    <row r="43">
      <c r="A43" s="3" t="inlineStr">
        <is>
          <t>4LMN</t>
        </is>
      </c>
      <c r="B43" s="3" t="inlineStr">
        <is>
          <t>Cobimetinib</t>
        </is>
      </c>
      <c r="C43" s="3" t="inlineStr">
        <is>
          <t>MEK</t>
        </is>
      </c>
      <c r="D43" s="9">
        <f>AVERAGE('Per-Trial Data'!$E32:$G32)</f>
        <v/>
      </c>
      <c r="E43" s="4">
        <f>AVERAGE('Per-Trial Data'!$H32:$J32)</f>
        <v/>
      </c>
      <c r="F43" s="10">
        <f>IF(COUNT('Per-Trial Data'!$H32:$J32)&gt;1,STDEV('Per-Trial Data'!$H32:$J32)/SQRT(COUNT('Per-Trial Data'!$H32:$J32)),0)</f>
        <v/>
      </c>
      <c r="G43" s="4">
        <f>AVERAGE('Per-Trial Data'!$K32:$M32)</f>
        <v/>
      </c>
      <c r="H43" s="10">
        <f>IF(COUNT('Per-Trial Data'!$K32:$M32)&gt;1,STDEV('Per-Trial Data'!$K32:$M32)/SQRT(COUNT('Per-Trial Data'!$K32:$M32)),0)</f>
        <v/>
      </c>
      <c r="I43" s="4">
        <f>G43-E43</f>
        <v/>
      </c>
      <c r="J43" s="10">
        <f>SQRT(F43^2+H43^2)</f>
        <v/>
      </c>
      <c r="K43" s="3" t="inlineStr"/>
      <c r="L43" s="4">
        <f>AVERAGE('Per-Trial Data'!$N32:$P32)</f>
        <v/>
      </c>
      <c r="M43" s="10">
        <f>IF(COUNT('Per-Trial Data'!$N32:$P32)&gt;1,STDEV('Per-Trial Data'!$N32:$P32)/SQRT(COUNT('Per-Trial Data'!$N32:$P32)),0)</f>
        <v/>
      </c>
      <c r="N43" s="4">
        <f>AVERAGE('Per-Trial Data'!$Q32:$S32)</f>
        <v/>
      </c>
      <c r="O43" s="10">
        <f>IF(COUNT('Per-Trial Data'!$Q32:$S32)&gt;1,STDEV('Per-Trial Data'!$Q32:$S32)/SQRT(COUNT('Per-Trial Data'!$Q32:$S32)),0)</f>
        <v/>
      </c>
      <c r="P43" s="4">
        <f>N43-L43</f>
        <v/>
      </c>
      <c r="Q43" s="10">
        <f>SQRT(M43^2+O43^2)</f>
        <v/>
      </c>
      <c r="R43" s="3" t="inlineStr"/>
      <c r="S43" s="3" t="inlineStr"/>
    </row>
    <row r="44">
      <c r="A44" s="7" t="n"/>
      <c r="B44" s="8" t="inlineStr">
        <is>
          <t>MET: Tyrosine Protein Kinase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</row>
    <row r="45">
      <c r="A45" s="3" t="inlineStr">
        <is>
          <t>2WGJ</t>
        </is>
      </c>
      <c r="B45" s="3" t="inlineStr">
        <is>
          <t>Crizotinib</t>
        </is>
      </c>
      <c r="C45" s="3" t="inlineStr">
        <is>
          <t>MET</t>
        </is>
      </c>
      <c r="D45" s="9">
        <f>AVERAGE('Per-Trial Data'!$E9:$G9)</f>
        <v/>
      </c>
      <c r="E45" s="4">
        <f>AVERAGE('Per-Trial Data'!$H9:$J9)</f>
        <v/>
      </c>
      <c r="F45" s="10">
        <f>IF(COUNT('Per-Trial Data'!$H9:$J9)&gt;1,STDEV('Per-Trial Data'!$H9:$J9)/SQRT(COUNT('Per-Trial Data'!$H9:$J9)),0)</f>
        <v/>
      </c>
      <c r="G45" s="4">
        <f>AVERAGE('Per-Trial Data'!$K9:$M9)</f>
        <v/>
      </c>
      <c r="H45" s="10">
        <f>IF(COUNT('Per-Trial Data'!$K9:$M9)&gt;1,STDEV('Per-Trial Data'!$K9:$M9)/SQRT(COUNT('Per-Trial Data'!$K9:$M9)),0)</f>
        <v/>
      </c>
      <c r="I45" s="4">
        <f>G45-E45</f>
        <v/>
      </c>
      <c r="J45" s="10">
        <f>SQRT(F45^2+H45^2)</f>
        <v/>
      </c>
      <c r="K45" s="3" t="inlineStr"/>
      <c r="L45" s="4">
        <f>AVERAGE('Per-Trial Data'!$N9:$P9)</f>
        <v/>
      </c>
      <c r="M45" s="10">
        <f>IF(COUNT('Per-Trial Data'!$N9:$P9)&gt;1,STDEV('Per-Trial Data'!$N9:$P9)/SQRT(COUNT('Per-Trial Data'!$N9:$P9)),0)</f>
        <v/>
      </c>
      <c r="N45" s="4">
        <f>AVERAGE('Per-Trial Data'!$Q9:$S9)</f>
        <v/>
      </c>
      <c r="O45" s="10">
        <f>IF(COUNT('Per-Trial Data'!$Q9:$S9)&gt;1,STDEV('Per-Trial Data'!$Q9:$S9)/SQRT(COUNT('Per-Trial Data'!$Q9:$S9)),0)</f>
        <v/>
      </c>
      <c r="P45" s="4">
        <f>N45-L45</f>
        <v/>
      </c>
      <c r="Q45" s="10">
        <f>SQRT(M45^2+O45^2)</f>
        <v/>
      </c>
      <c r="R45" s="3" t="inlineStr"/>
      <c r="S45" s="3" t="inlineStr"/>
    </row>
    <row r="46">
      <c r="A46" s="7" t="n"/>
      <c r="B46" s="8" t="inlineStr">
        <is>
          <t>VEGFR: Vascular Endothelial Growth Factor Receptor Kinase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</row>
    <row r="47">
      <c r="A47" s="3" t="inlineStr">
        <is>
          <t>4AG8</t>
        </is>
      </c>
      <c r="B47" s="3" t="inlineStr">
        <is>
          <t>Axitinib</t>
        </is>
      </c>
      <c r="C47" s="3" t="inlineStr">
        <is>
          <t>VEGFR</t>
        </is>
      </c>
      <c r="D47" s="9">
        <f>AVERAGE('Per-Trial Data'!$E22:$G22)</f>
        <v/>
      </c>
      <c r="E47" s="4">
        <f>AVERAGE('Per-Trial Data'!$H22:$J22)</f>
        <v/>
      </c>
      <c r="F47" s="10">
        <f>IF(COUNT('Per-Trial Data'!$H22:$J22)&gt;1,STDEV('Per-Trial Data'!$H22:$J22)/SQRT(COUNT('Per-Trial Data'!$H22:$J22)),0)</f>
        <v/>
      </c>
      <c r="G47" s="4">
        <f>AVERAGE('Per-Trial Data'!$K22:$M22)</f>
        <v/>
      </c>
      <c r="H47" s="10">
        <f>IF(COUNT('Per-Trial Data'!$K22:$M22)&gt;1,STDEV('Per-Trial Data'!$K22:$M22)/SQRT(COUNT('Per-Trial Data'!$K22:$M22)),0)</f>
        <v/>
      </c>
      <c r="I47" s="4">
        <f>G47-E47</f>
        <v/>
      </c>
      <c r="J47" s="10">
        <f>SQRT(F47^2+H47^2)</f>
        <v/>
      </c>
      <c r="K47" s="3" t="inlineStr"/>
      <c r="L47" s="4">
        <f>AVERAGE('Per-Trial Data'!$N22:$P22)</f>
        <v/>
      </c>
      <c r="M47" s="10">
        <f>IF(COUNT('Per-Trial Data'!$N22:$P22)&gt;1,STDEV('Per-Trial Data'!$N22:$P22)/SQRT(COUNT('Per-Trial Data'!$N22:$P22)),0)</f>
        <v/>
      </c>
      <c r="N47" s="4">
        <f>AVERAGE('Per-Trial Data'!$Q22:$S22)</f>
        <v/>
      </c>
      <c r="O47" s="10">
        <f>IF(COUNT('Per-Trial Data'!$Q22:$S22)&gt;1,STDEV('Per-Trial Data'!$Q22:$S22)/SQRT(COUNT('Per-Trial Data'!$Q22:$S22)),0)</f>
        <v/>
      </c>
      <c r="P47" s="4">
        <f>N47-L47</f>
        <v/>
      </c>
      <c r="Q47" s="10">
        <f>SQRT(M47^2+O47^2)</f>
        <v/>
      </c>
      <c r="R47" s="3" t="inlineStr"/>
      <c r="S47" s="3" t="inlineStr"/>
    </row>
    <row r="48">
      <c r="A48" s="3" t="inlineStr">
        <is>
          <t>4AGC</t>
        </is>
      </c>
      <c r="B48" s="3" t="inlineStr">
        <is>
          <t>Axitinib</t>
        </is>
      </c>
      <c r="C48" s="3" t="inlineStr">
        <is>
          <t>VEGFR</t>
        </is>
      </c>
      <c r="D48" s="9">
        <f>AVERAGE('Per-Trial Data'!$E23:$G23)</f>
        <v/>
      </c>
      <c r="E48" s="4">
        <f>AVERAGE('Per-Trial Data'!$H23:$J23)</f>
        <v/>
      </c>
      <c r="F48" s="10">
        <f>IF(COUNT('Per-Trial Data'!$H23:$J23)&gt;1,STDEV('Per-Trial Data'!$H23:$J23)/SQRT(COUNT('Per-Trial Data'!$H23:$J23)),0)</f>
        <v/>
      </c>
      <c r="G48" s="4">
        <f>AVERAGE('Per-Trial Data'!$K23:$M23)</f>
        <v/>
      </c>
      <c r="H48" s="10">
        <f>IF(COUNT('Per-Trial Data'!$K23:$M23)&gt;1,STDEV('Per-Trial Data'!$K23:$M23)/SQRT(COUNT('Per-Trial Data'!$K23:$M23)),0)</f>
        <v/>
      </c>
      <c r="I48" s="4">
        <f>G48-E48</f>
        <v/>
      </c>
      <c r="J48" s="10">
        <f>SQRT(F48^2+H48^2)</f>
        <v/>
      </c>
      <c r="K48" s="3" t="inlineStr"/>
      <c r="L48" s="4">
        <f>AVERAGE('Per-Trial Data'!$N23:$P23)</f>
        <v/>
      </c>
      <c r="M48" s="10">
        <f>IF(COUNT('Per-Trial Data'!$N23:$P23)&gt;1,STDEV('Per-Trial Data'!$N23:$P23)/SQRT(COUNT('Per-Trial Data'!$N23:$P23)),0)</f>
        <v/>
      </c>
      <c r="N48" s="4">
        <f>AVERAGE('Per-Trial Data'!$Q23:$S23)</f>
        <v/>
      </c>
      <c r="O48" s="10">
        <f>IF(COUNT('Per-Trial Data'!$Q23:$S23)&gt;1,STDEV('Per-Trial Data'!$Q23:$S23)/SQRT(COUNT('Per-Trial Data'!$Q23:$S23)),0)</f>
        <v/>
      </c>
      <c r="P48" s="4">
        <f>N48-L48</f>
        <v/>
      </c>
      <c r="Q48" s="10">
        <f>SQRT(M48^2+O48^2)</f>
        <v/>
      </c>
      <c r="R48" s="3" t="inlineStr"/>
      <c r="S48" s="3" t="inlineStr"/>
    </row>
    <row r="49">
      <c r="A49" s="3" t="inlineStr">
        <is>
          <t>3WZD</t>
        </is>
      </c>
      <c r="B49" s="3" t="inlineStr">
        <is>
          <t>Lenvatinib</t>
        </is>
      </c>
      <c r="C49" s="3" t="inlineStr">
        <is>
          <t>VEGFR</t>
        </is>
      </c>
      <c r="D49" s="9">
        <f>AVERAGE('Per-Trial Data'!$E18:$G18)</f>
        <v/>
      </c>
      <c r="E49" s="4">
        <f>AVERAGE('Per-Trial Data'!$H18:$J18)</f>
        <v/>
      </c>
      <c r="F49" s="10">
        <f>IF(COUNT('Per-Trial Data'!$H18:$J18)&gt;1,STDEV('Per-Trial Data'!$H18:$J18)/SQRT(COUNT('Per-Trial Data'!$H18:$J18)),0)</f>
        <v/>
      </c>
      <c r="G49" s="4">
        <f>AVERAGE('Per-Trial Data'!$K18:$M18)</f>
        <v/>
      </c>
      <c r="H49" s="10">
        <f>IF(COUNT('Per-Trial Data'!$K18:$M18)&gt;1,STDEV('Per-Trial Data'!$K18:$M18)/SQRT(COUNT('Per-Trial Data'!$K18:$M18)),0)</f>
        <v/>
      </c>
      <c r="I49" s="4">
        <f>G49-E49</f>
        <v/>
      </c>
      <c r="J49" s="10">
        <f>SQRT(F49^2+H49^2)</f>
        <v/>
      </c>
      <c r="K49" s="3" t="inlineStr"/>
      <c r="L49" s="4">
        <f>AVERAGE('Per-Trial Data'!$N18:$P18)</f>
        <v/>
      </c>
      <c r="M49" s="10">
        <f>IF(COUNT('Per-Trial Data'!$N18:$P18)&gt;1,STDEV('Per-Trial Data'!$N18:$P18)/SQRT(COUNT('Per-Trial Data'!$N18:$P18)),0)</f>
        <v/>
      </c>
      <c r="N49" s="4">
        <f>AVERAGE('Per-Trial Data'!$Q18:$S18)</f>
        <v/>
      </c>
      <c r="O49" s="10">
        <f>IF(COUNT('Per-Trial Data'!$Q18:$S18)&gt;1,STDEV('Per-Trial Data'!$Q18:$S18)/SQRT(COUNT('Per-Trial Data'!$Q18:$S18)),0)</f>
        <v/>
      </c>
      <c r="P49" s="4">
        <f>N49-L49</f>
        <v/>
      </c>
      <c r="Q49" s="10">
        <f>SQRT(M49^2+O49^2)</f>
        <v/>
      </c>
      <c r="R49" s="3" t="inlineStr"/>
      <c r="S49" s="3" t="inlineStr"/>
    </row>
    <row r="50">
      <c r="A50" s="3" t="inlineStr">
        <is>
          <t>3WZE</t>
        </is>
      </c>
      <c r="B50" s="3" t="inlineStr">
        <is>
          <t>Sorafenib</t>
        </is>
      </c>
      <c r="C50" s="3" t="inlineStr">
        <is>
          <t>VEGFR</t>
        </is>
      </c>
      <c r="D50" s="9">
        <f>AVERAGE('Per-Trial Data'!$E19:$G19)</f>
        <v/>
      </c>
      <c r="E50" s="4">
        <f>AVERAGE('Per-Trial Data'!$H19:$J19)</f>
        <v/>
      </c>
      <c r="F50" s="10">
        <f>IF(COUNT('Per-Trial Data'!$H19:$J19)&gt;1,STDEV('Per-Trial Data'!$H19:$J19)/SQRT(COUNT('Per-Trial Data'!$H19:$J19)),0)</f>
        <v/>
      </c>
      <c r="G50" s="4">
        <f>AVERAGE('Per-Trial Data'!$K19:$M19)</f>
        <v/>
      </c>
      <c r="H50" s="10">
        <f>IF(COUNT('Per-Trial Data'!$K19:$M19)&gt;1,STDEV('Per-Trial Data'!$K19:$M19)/SQRT(COUNT('Per-Trial Data'!$K19:$M19)),0)</f>
        <v/>
      </c>
      <c r="I50" s="4">
        <f>G50-E50</f>
        <v/>
      </c>
      <c r="J50" s="10">
        <f>SQRT(F50^2+H50^2)</f>
        <v/>
      </c>
      <c r="K50" s="3" t="inlineStr"/>
      <c r="L50" s="4">
        <f>AVERAGE('Per-Trial Data'!$N19:$P19)</f>
        <v/>
      </c>
      <c r="M50" s="10">
        <f>IF(COUNT('Per-Trial Data'!$N19:$P19)&gt;1,STDEV('Per-Trial Data'!$N19:$P19)/SQRT(COUNT('Per-Trial Data'!$N19:$P19)),0)</f>
        <v/>
      </c>
      <c r="N50" s="4">
        <f>AVERAGE('Per-Trial Data'!$Q19:$S19)</f>
        <v/>
      </c>
      <c r="O50" s="10">
        <f>IF(COUNT('Per-Trial Data'!$Q19:$S19)&gt;1,STDEV('Per-Trial Data'!$Q19:$S19)/SQRT(COUNT('Per-Trial Data'!$Q19:$S19)),0)</f>
        <v/>
      </c>
      <c r="P50" s="4">
        <f>N50-L50</f>
        <v/>
      </c>
      <c r="Q50" s="10">
        <f>SQRT(M50^2+O50^2)</f>
        <v/>
      </c>
      <c r="R50" s="3" t="inlineStr"/>
      <c r="S50" s="3" t="inlineStr"/>
    </row>
    <row r="51">
      <c r="A51" s="3" t="inlineStr">
        <is>
          <t>4ASD</t>
        </is>
      </c>
      <c r="B51" s="3" t="inlineStr">
        <is>
          <t>Sorafenib</t>
        </is>
      </c>
      <c r="C51" s="3" t="inlineStr">
        <is>
          <t>VEGFR</t>
        </is>
      </c>
      <c r="D51" s="9">
        <f>AVERAGE('Per-Trial Data'!$E28:$G28)</f>
        <v/>
      </c>
      <c r="E51" s="4">
        <f>AVERAGE('Per-Trial Data'!$H28:$J28)</f>
        <v/>
      </c>
      <c r="F51" s="10">
        <f>IF(COUNT('Per-Trial Data'!$H28:$J28)&gt;1,STDEV('Per-Trial Data'!$H28:$J28)/SQRT(COUNT('Per-Trial Data'!$H28:$J28)),0)</f>
        <v/>
      </c>
      <c r="G51" s="4">
        <f>AVERAGE('Per-Trial Data'!$K28:$M28)</f>
        <v/>
      </c>
      <c r="H51" s="10">
        <f>IF(COUNT('Per-Trial Data'!$K28:$M28)&gt;1,STDEV('Per-Trial Data'!$K28:$M28)/SQRT(COUNT('Per-Trial Data'!$K28:$M28)),0)</f>
        <v/>
      </c>
      <c r="I51" s="4">
        <f>G51-E51</f>
        <v/>
      </c>
      <c r="J51" s="10">
        <f>SQRT(F51^2+H51^2)</f>
        <v/>
      </c>
      <c r="K51" s="3" t="inlineStr"/>
      <c r="L51" s="4">
        <f>AVERAGE('Per-Trial Data'!$N28:$P28)</f>
        <v/>
      </c>
      <c r="M51" s="10">
        <f>IF(COUNT('Per-Trial Data'!$N28:$P28)&gt;1,STDEV('Per-Trial Data'!$N28:$P28)/SQRT(COUNT('Per-Trial Data'!$N28:$P28)),0)</f>
        <v/>
      </c>
      <c r="N51" s="4">
        <f>AVERAGE('Per-Trial Data'!$Q28:$S28)</f>
        <v/>
      </c>
      <c r="O51" s="10">
        <f>IF(COUNT('Per-Trial Data'!$Q28:$S28)&gt;1,STDEV('Per-Trial Data'!$Q28:$S28)/SQRT(COUNT('Per-Trial Data'!$Q28:$S28)),0)</f>
        <v/>
      </c>
      <c r="P51" s="4">
        <f>N51-L51</f>
        <v/>
      </c>
      <c r="Q51" s="10">
        <f>SQRT(M51^2+O51^2)</f>
        <v/>
      </c>
      <c r="R51" s="3" t="inlineStr"/>
      <c r="S51" s="3" t="inlineStr"/>
    </row>
    <row r="52">
      <c r="A52" s="3" t="inlineStr">
        <is>
          <t>4AGD</t>
        </is>
      </c>
      <c r="B52" s="3" t="inlineStr">
        <is>
          <t>Sunitinib</t>
        </is>
      </c>
      <c r="C52" s="3" t="inlineStr">
        <is>
          <t>VEGFR</t>
        </is>
      </c>
      <c r="D52" s="9">
        <f>AVERAGE('Per-Trial Data'!$E24:$G24)</f>
        <v/>
      </c>
      <c r="E52" s="4">
        <f>AVERAGE('Per-Trial Data'!$H24:$J24)</f>
        <v/>
      </c>
      <c r="F52" s="10">
        <f>IF(COUNT('Per-Trial Data'!$H24:$J24)&gt;1,STDEV('Per-Trial Data'!$H24:$J24)/SQRT(COUNT('Per-Trial Data'!$H24:$J24)),0)</f>
        <v/>
      </c>
      <c r="G52" s="4">
        <f>AVERAGE('Per-Trial Data'!$K24:$M24)</f>
        <v/>
      </c>
      <c r="H52" s="10">
        <f>IF(COUNT('Per-Trial Data'!$K24:$M24)&gt;1,STDEV('Per-Trial Data'!$K24:$M24)/SQRT(COUNT('Per-Trial Data'!$K24:$M24)),0)</f>
        <v/>
      </c>
      <c r="I52" s="4">
        <f>G52-E52</f>
        <v/>
      </c>
      <c r="J52" s="10">
        <f>SQRT(F52^2+H52^2)</f>
        <v/>
      </c>
      <c r="K52" s="3" t="inlineStr"/>
      <c r="L52" s="4">
        <f>AVERAGE('Per-Trial Data'!$N24:$P24)</f>
        <v/>
      </c>
      <c r="M52" s="10">
        <f>IF(COUNT('Per-Trial Data'!$N24:$P24)&gt;1,STDEV('Per-Trial Data'!$N24:$P24)/SQRT(COUNT('Per-Trial Data'!$N24:$P24)),0)</f>
        <v/>
      </c>
      <c r="N52" s="4">
        <f>AVERAGE('Per-Trial Data'!$Q24:$S24)</f>
        <v/>
      </c>
      <c r="O52" s="10">
        <f>IF(COUNT('Per-Trial Data'!$Q24:$S24)&gt;1,STDEV('Per-Trial Data'!$Q24:$S24)/SQRT(COUNT('Per-Trial Data'!$Q24:$S24)),0)</f>
        <v/>
      </c>
      <c r="P52" s="4">
        <f>N52-L52</f>
        <v/>
      </c>
      <c r="Q52" s="10">
        <f>SQRT(M52^2+O52^2)</f>
        <v/>
      </c>
      <c r="R52" s="3" t="inlineStr"/>
      <c r="S52" s="3" t="inlineStr"/>
    </row>
    <row r="54">
      <c r="A54" s="5" t="inlineStr">
        <is>
          <t>∆crg columns are differences of the trial means; their ± is the propagated SEM √(a²+b²). The residue-level holo−apo difference is instead paired within each trial — see Methods.</t>
        </is>
      </c>
    </row>
  </sheetData>
  <mergeCells count="5">
    <mergeCell ref="P4:Q4"/>
    <mergeCell ref="L4:M4"/>
    <mergeCell ref="D4:K4"/>
    <mergeCell ref="R4:S4"/>
    <mergeCell ref="N4:O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6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1" customWidth="1" min="4" max="4"/>
    <col width="9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</cols>
  <sheetData>
    <row r="1">
      <c r="A1" s="1" t="inlineStr"/>
      <c r="B1" s="1" t="inlineStr"/>
      <c r="C1" s="1" t="inlineStr"/>
      <c r="D1" s="1" t="inlineStr"/>
      <c r="E1" s="1" t="inlineStr"/>
      <c r="F1" s="1" t="inlineStr">
        <is>
          <t>P(i) soln</t>
        </is>
      </c>
      <c r="I1" s="1" t="inlineStr">
        <is>
          <t>P(i) bound</t>
        </is>
      </c>
      <c r="L1" s="1" t="inlineStr">
        <is>
          <t># rotamers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site</t>
        </is>
      </c>
      <c r="D2" s="2" t="inlineStr">
        <is>
          <t>Conf type</t>
        </is>
      </c>
      <c r="E2" s="2" t="inlineStr">
        <is>
          <t>charge</t>
        </is>
      </c>
      <c r="F2" s="2" t="inlineStr">
        <is>
          <t>T01</t>
        </is>
      </c>
      <c r="G2" s="2" t="inlineStr">
        <is>
          <t>T02</t>
        </is>
      </c>
      <c r="H2" s="2" t="inlineStr">
        <is>
          <t>T03</t>
        </is>
      </c>
      <c r="I2" s="2" t="inlineStr">
        <is>
          <t>T01</t>
        </is>
      </c>
      <c r="J2" s="2" t="inlineStr">
        <is>
          <t>T02</t>
        </is>
      </c>
      <c r="K2" s="2" t="inlineStr">
        <is>
          <t>T03</t>
        </is>
      </c>
      <c r="L2" s="2" t="inlineStr">
        <is>
          <t>T01</t>
        </is>
      </c>
      <c r="M2" s="2" t="inlineStr">
        <is>
          <t>T02</t>
        </is>
      </c>
      <c r="N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/>
      <c r="D3" s="3" t="inlineStr">
        <is>
          <t>FMM+1</t>
        </is>
      </c>
      <c r="E3" s="10" t="n">
        <v>1</v>
      </c>
      <c r="F3" s="10" t="n">
        <v>0.949</v>
      </c>
      <c r="G3" s="10" t="n">
        <v>0.949</v>
      </c>
      <c r="H3" s="10" t="n">
        <v>0.949</v>
      </c>
      <c r="I3" s="10" t="n">
        <v>0.696</v>
      </c>
      <c r="J3" s="10" t="n">
        <v>0.499</v>
      </c>
      <c r="K3" s="10" t="n">
        <v>0.532</v>
      </c>
      <c r="L3" s="3" t="n">
        <v>1</v>
      </c>
      <c r="M3" s="3" t="n">
        <v>1</v>
      </c>
      <c r="N3" s="3" t="n">
        <v>1</v>
      </c>
    </row>
    <row r="4">
      <c r="A4" s="3" t="inlineStr">
        <is>
          <t>1XKK</t>
        </is>
      </c>
      <c r="B4" s="3" t="inlineStr">
        <is>
          <t>Lapatinib</t>
        </is>
      </c>
      <c r="C4" s="3" t="inlineStr"/>
      <c r="D4" s="3" t="inlineStr">
        <is>
          <t>FMM+a</t>
        </is>
      </c>
      <c r="E4" s="10" t="n">
        <v>2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10" t="n">
        <v>0</v>
      </c>
      <c r="L4" s="3" t="n">
        <v>1</v>
      </c>
      <c r="M4" s="3" t="n">
        <v>1</v>
      </c>
      <c r="N4" s="3" t="n">
        <v>1</v>
      </c>
    </row>
    <row r="5">
      <c r="A5" s="3" t="inlineStr">
        <is>
          <t>1XKK</t>
        </is>
      </c>
      <c r="B5" s="3" t="inlineStr">
        <is>
          <t>Lapatinib</t>
        </is>
      </c>
      <c r="C5" s="3" t="inlineStr"/>
      <c r="D5" s="3" t="inlineStr">
        <is>
          <t>FMM01</t>
        </is>
      </c>
      <c r="E5" s="10" t="n">
        <v>-0</v>
      </c>
      <c r="F5" s="10" t="n">
        <v>0.051</v>
      </c>
      <c r="G5" s="10" t="n">
        <v>0.051</v>
      </c>
      <c r="H5" s="10" t="n">
        <v>0.051</v>
      </c>
      <c r="I5" s="10" t="n">
        <v>0.304</v>
      </c>
      <c r="J5" s="10" t="n">
        <v>0.501</v>
      </c>
      <c r="K5" s="10" t="n">
        <v>0.468</v>
      </c>
      <c r="L5" s="3" t="n">
        <v>2</v>
      </c>
      <c r="M5" s="3" t="n">
        <v>3</v>
      </c>
      <c r="N5" s="3" t="n">
        <v>2</v>
      </c>
    </row>
    <row r="6">
      <c r="A6" s="3" t="inlineStr">
        <is>
          <t>2EUF</t>
        </is>
      </c>
      <c r="B6" s="3" t="inlineStr">
        <is>
          <t>Palbociclib</t>
        </is>
      </c>
      <c r="C6" s="3" t="inlineStr"/>
      <c r="D6" s="3" t="inlineStr">
        <is>
          <t>LQQ+1</t>
        </is>
      </c>
      <c r="E6" s="10" t="n">
        <v>1</v>
      </c>
      <c r="F6" s="10" t="n">
        <v>0.975</v>
      </c>
      <c r="G6" s="10" t="n">
        <v>0.975</v>
      </c>
      <c r="H6" s="10" t="n">
        <v>0.975</v>
      </c>
      <c r="I6" s="10" t="n">
        <v>0.999</v>
      </c>
      <c r="J6" s="10" t="n">
        <v>1</v>
      </c>
      <c r="K6" s="10" t="n">
        <v>1</v>
      </c>
      <c r="L6" s="3" t="n">
        <v>1</v>
      </c>
      <c r="M6" s="3" t="n">
        <v>1</v>
      </c>
      <c r="N6" s="3" t="n">
        <v>1</v>
      </c>
    </row>
    <row r="7">
      <c r="A7" s="3" t="inlineStr">
        <is>
          <t>2EUF</t>
        </is>
      </c>
      <c r="B7" s="3" t="inlineStr">
        <is>
          <t>Palbociclib</t>
        </is>
      </c>
      <c r="C7" s="3" t="inlineStr"/>
      <c r="D7" s="3" t="inlineStr">
        <is>
          <t>LQQ01</t>
        </is>
      </c>
      <c r="E7" s="10" t="n">
        <v>0</v>
      </c>
      <c r="F7" s="10" t="n">
        <v>0.025</v>
      </c>
      <c r="G7" s="10" t="n">
        <v>0.025</v>
      </c>
      <c r="H7" s="10" t="n">
        <v>0.025</v>
      </c>
      <c r="I7" s="10" t="n">
        <v>0.001</v>
      </c>
      <c r="J7" s="10" t="n">
        <v>0</v>
      </c>
      <c r="K7" s="10" t="n">
        <v>0</v>
      </c>
      <c r="L7" s="3" t="n">
        <v>1</v>
      </c>
      <c r="M7" s="3" t="n">
        <v>1</v>
      </c>
      <c r="N7" s="3" t="n">
        <v>1</v>
      </c>
    </row>
    <row r="8">
      <c r="A8" s="3" t="inlineStr">
        <is>
          <t>2HYY</t>
        </is>
      </c>
      <c r="B8" s="3" t="inlineStr">
        <is>
          <t>Imatinib</t>
        </is>
      </c>
      <c r="C8" s="3" t="inlineStr"/>
      <c r="D8" s="3" t="inlineStr">
        <is>
          <t>STI+1</t>
        </is>
      </c>
      <c r="E8" s="10" t="n">
        <v>1.004</v>
      </c>
      <c r="F8" s="10" t="n">
        <v>0.588</v>
      </c>
      <c r="G8" s="10" t="n">
        <v>0.588</v>
      </c>
      <c r="H8" s="10" t="n">
        <v>0.588</v>
      </c>
      <c r="I8" s="10" t="n">
        <v>0</v>
      </c>
      <c r="J8" s="10" t="n">
        <v>0</v>
      </c>
      <c r="K8" s="10" t="n">
        <v>0.003</v>
      </c>
      <c r="L8" s="3" t="n">
        <v>1</v>
      </c>
      <c r="M8" s="3" t="n">
        <v>1</v>
      </c>
      <c r="N8" s="3" t="n">
        <v>1</v>
      </c>
    </row>
    <row r="9">
      <c r="A9" s="3" t="inlineStr">
        <is>
          <t>2HYY</t>
        </is>
      </c>
      <c r="B9" s="3" t="inlineStr">
        <is>
          <t>Imatinib</t>
        </is>
      </c>
      <c r="C9" s="3" t="inlineStr"/>
      <c r="D9" s="3" t="inlineStr">
        <is>
          <t>STI+2</t>
        </is>
      </c>
      <c r="E9" s="10" t="n">
        <v>0.995</v>
      </c>
      <c r="F9" s="10" t="n">
        <v>0.38</v>
      </c>
      <c r="G9" s="10" t="n">
        <v>0.38</v>
      </c>
      <c r="H9" s="10" t="n">
        <v>0.38</v>
      </c>
      <c r="I9" s="10" t="n">
        <v>1</v>
      </c>
      <c r="J9" s="10" t="n">
        <v>1</v>
      </c>
      <c r="K9" s="10" t="n">
        <v>0.997</v>
      </c>
      <c r="L9" s="3" t="n">
        <v>1</v>
      </c>
      <c r="M9" s="3" t="n">
        <v>1</v>
      </c>
      <c r="N9" s="3" t="n">
        <v>1</v>
      </c>
    </row>
    <row r="10">
      <c r="A10" s="3" t="inlineStr">
        <is>
          <t>2HYY</t>
        </is>
      </c>
      <c r="B10" s="3" t="inlineStr">
        <is>
          <t>Imatinib</t>
        </is>
      </c>
      <c r="C10" s="3" t="inlineStr"/>
      <c r="D10" s="3" t="inlineStr">
        <is>
          <t>STI+a</t>
        </is>
      </c>
      <c r="E10" s="10" t="n">
        <v>1.995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3" t="n">
        <v>1</v>
      </c>
      <c r="M10" s="3" t="n">
        <v>1</v>
      </c>
      <c r="N10" s="3" t="n">
        <v>1</v>
      </c>
    </row>
    <row r="11">
      <c r="A11" s="3" t="inlineStr">
        <is>
          <t>2HYY</t>
        </is>
      </c>
      <c r="B11" s="3" t="inlineStr">
        <is>
          <t>Imatinib</t>
        </is>
      </c>
      <c r="C11" s="3" t="inlineStr"/>
      <c r="D11" s="3" t="inlineStr">
        <is>
          <t>STI+b</t>
        </is>
      </c>
      <c r="E11" s="10" t="n">
        <v>2.002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10" t="n">
        <v>0</v>
      </c>
      <c r="L11" s="3" t="n">
        <v>1</v>
      </c>
      <c r="M11" s="3" t="n">
        <v>1</v>
      </c>
      <c r="N11" s="3" t="n">
        <v>1</v>
      </c>
    </row>
    <row r="12">
      <c r="A12" s="3" t="inlineStr">
        <is>
          <t>2HYY</t>
        </is>
      </c>
      <c r="B12" s="3" t="inlineStr">
        <is>
          <t>Imatinib</t>
        </is>
      </c>
      <c r="C12" s="3" t="inlineStr"/>
      <c r="D12" s="3" t="inlineStr">
        <is>
          <t>STI01</t>
        </is>
      </c>
      <c r="E12" s="10" t="n">
        <v>-0.002</v>
      </c>
      <c r="F12" s="10" t="n">
        <v>0.032</v>
      </c>
      <c r="G12" s="10" t="n">
        <v>0.032</v>
      </c>
      <c r="H12" s="10" t="n">
        <v>0.032</v>
      </c>
      <c r="I12" s="10" t="n">
        <v>0</v>
      </c>
      <c r="J12" s="10" t="n">
        <v>0</v>
      </c>
      <c r="K12" s="10" t="n">
        <v>0</v>
      </c>
      <c r="L12" s="3" t="n">
        <v>1</v>
      </c>
      <c r="M12" s="3" t="n">
        <v>1</v>
      </c>
      <c r="N12" s="3" t="n">
        <v>1</v>
      </c>
    </row>
    <row r="13">
      <c r="A13" s="3" t="inlineStr">
        <is>
          <t>2ITO</t>
        </is>
      </c>
      <c r="B13" s="3" t="inlineStr">
        <is>
          <t>Gefitinib</t>
        </is>
      </c>
      <c r="C13" s="3" t="inlineStr"/>
      <c r="D13" s="3" t="inlineStr">
        <is>
          <t>IRE+1</t>
        </is>
      </c>
      <c r="E13" s="10" t="n">
        <v>1</v>
      </c>
      <c r="F13" s="10" t="n">
        <v>0.298</v>
      </c>
      <c r="G13" s="10" t="n">
        <v>0.298</v>
      </c>
      <c r="H13" s="10" t="n">
        <v>0.298</v>
      </c>
      <c r="I13" s="10" t="n">
        <v>0.75</v>
      </c>
      <c r="J13" s="10" t="n">
        <v>0.802</v>
      </c>
      <c r="K13" s="10" t="n">
        <v>0.797</v>
      </c>
      <c r="L13" s="3" t="n">
        <v>1</v>
      </c>
      <c r="M13" s="3" t="n">
        <v>1</v>
      </c>
      <c r="N13" s="3" t="n">
        <v>1</v>
      </c>
    </row>
    <row r="14">
      <c r="A14" s="3" t="inlineStr">
        <is>
          <t>2ITO</t>
        </is>
      </c>
      <c r="B14" s="3" t="inlineStr">
        <is>
          <t>Gefitinib</t>
        </is>
      </c>
      <c r="C14" s="3" t="inlineStr"/>
      <c r="D14" s="3" t="inlineStr">
        <is>
          <t>IRE+2</t>
        </is>
      </c>
      <c r="E14" s="10" t="n">
        <v>1</v>
      </c>
      <c r="F14" s="10" t="n">
        <v>0.002</v>
      </c>
      <c r="G14" s="10" t="n">
        <v>0.002</v>
      </c>
      <c r="H14" s="10" t="n">
        <v>0.002</v>
      </c>
      <c r="I14" s="10" t="n">
        <v>0</v>
      </c>
      <c r="J14" s="10" t="n">
        <v>0</v>
      </c>
      <c r="K14" s="10" t="n">
        <v>0</v>
      </c>
      <c r="L14" s="3" t="n">
        <v>1</v>
      </c>
      <c r="M14" s="3" t="n">
        <v>1</v>
      </c>
      <c r="N14" s="3" t="n">
        <v>1</v>
      </c>
    </row>
    <row r="15">
      <c r="A15" s="3" t="inlineStr">
        <is>
          <t>2ITO</t>
        </is>
      </c>
      <c r="B15" s="3" t="inlineStr">
        <is>
          <t>Gefitinib</t>
        </is>
      </c>
      <c r="C15" s="3" t="inlineStr"/>
      <c r="D15" s="3" t="inlineStr">
        <is>
          <t>IRE+3</t>
        </is>
      </c>
      <c r="E15" s="10" t="n">
        <v>1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10" t="n">
        <v>0</v>
      </c>
      <c r="L15" s="3" t="n">
        <v>1</v>
      </c>
      <c r="M15" s="3" t="n">
        <v>1</v>
      </c>
      <c r="N15" s="3" t="n">
        <v>1</v>
      </c>
    </row>
    <row r="16">
      <c r="A16" s="3" t="inlineStr">
        <is>
          <t>2ITO</t>
        </is>
      </c>
      <c r="B16" s="3" t="inlineStr">
        <is>
          <t>Gefitinib</t>
        </is>
      </c>
      <c r="C16" s="3" t="inlineStr"/>
      <c r="D16" s="3" t="inlineStr">
        <is>
          <t>IRE+a</t>
        </is>
      </c>
      <c r="E16" s="10" t="n">
        <v>2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10" t="n">
        <v>0</v>
      </c>
      <c r="L16" s="3" t="n">
        <v>1</v>
      </c>
      <c r="M16" s="3" t="n">
        <v>1</v>
      </c>
      <c r="N16" s="3" t="n">
        <v>1</v>
      </c>
    </row>
    <row r="17">
      <c r="A17" s="3" t="inlineStr">
        <is>
          <t>2ITO</t>
        </is>
      </c>
      <c r="B17" s="3" t="inlineStr">
        <is>
          <t>Gefitinib</t>
        </is>
      </c>
      <c r="C17" s="3" t="inlineStr"/>
      <c r="D17" s="3" t="inlineStr">
        <is>
          <t>IRE01</t>
        </is>
      </c>
      <c r="E17" s="10" t="n">
        <v>-0</v>
      </c>
      <c r="F17" s="10" t="n">
        <v>0.7</v>
      </c>
      <c r="G17" s="10" t="n">
        <v>0.7</v>
      </c>
      <c r="H17" s="10" t="n">
        <v>0.7</v>
      </c>
      <c r="I17" s="10" t="n">
        <v>0.25</v>
      </c>
      <c r="J17" s="10" t="n">
        <v>0.198</v>
      </c>
      <c r="K17" s="10" t="n">
        <v>0.203</v>
      </c>
      <c r="L17" s="3" t="n">
        <v>1</v>
      </c>
      <c r="M17" s="3" t="n">
        <v>1</v>
      </c>
      <c r="N17" s="3" t="n">
        <v>1</v>
      </c>
    </row>
    <row r="18">
      <c r="A18" s="3" t="inlineStr">
        <is>
          <t>2ITY</t>
        </is>
      </c>
      <c r="B18" s="3" t="inlineStr">
        <is>
          <t>Gefitinib</t>
        </is>
      </c>
      <c r="C18" s="3" t="inlineStr"/>
      <c r="D18" s="3" t="inlineStr">
        <is>
          <t>IRE+1</t>
        </is>
      </c>
      <c r="E18" s="10" t="n">
        <v>1</v>
      </c>
      <c r="F18" s="10" t="n">
        <v>0.298</v>
      </c>
      <c r="G18" s="10" t="n">
        <v>0.298</v>
      </c>
      <c r="H18" s="10" t="n">
        <v>0.298</v>
      </c>
      <c r="I18" s="10" t="n">
        <v>0.349</v>
      </c>
      <c r="J18" s="10" t="n">
        <v>0.348</v>
      </c>
      <c r="K18" s="10" t="n">
        <v>0.352</v>
      </c>
      <c r="L18" s="3" t="n">
        <v>1</v>
      </c>
      <c r="M18" s="3" t="n">
        <v>1</v>
      </c>
      <c r="N18" s="3" t="n">
        <v>1</v>
      </c>
    </row>
    <row r="19">
      <c r="A19" s="3" t="inlineStr">
        <is>
          <t>2ITY</t>
        </is>
      </c>
      <c r="B19" s="3" t="inlineStr">
        <is>
          <t>Gefitinib</t>
        </is>
      </c>
      <c r="C19" s="3" t="inlineStr"/>
      <c r="D19" s="3" t="inlineStr">
        <is>
          <t>IRE+2</t>
        </is>
      </c>
      <c r="E19" s="10" t="n">
        <v>1</v>
      </c>
      <c r="F19" s="10" t="n">
        <v>0.002</v>
      </c>
      <c r="G19" s="10" t="n">
        <v>0.002</v>
      </c>
      <c r="H19" s="10" t="n">
        <v>0.002</v>
      </c>
      <c r="I19" s="10" t="n">
        <v>0</v>
      </c>
      <c r="J19" s="10" t="n">
        <v>0</v>
      </c>
      <c r="K19" s="10" t="n">
        <v>0</v>
      </c>
      <c r="L19" s="3" t="n">
        <v>1</v>
      </c>
      <c r="M19" s="3" t="n">
        <v>1</v>
      </c>
      <c r="N19" s="3" t="n">
        <v>1</v>
      </c>
    </row>
    <row r="20">
      <c r="A20" s="3" t="inlineStr">
        <is>
          <t>2ITY</t>
        </is>
      </c>
      <c r="B20" s="3" t="inlineStr">
        <is>
          <t>Gefitinib</t>
        </is>
      </c>
      <c r="C20" s="3" t="inlineStr"/>
      <c r="D20" s="3" t="inlineStr">
        <is>
          <t>IRE+3</t>
        </is>
      </c>
      <c r="E20" s="10" t="n">
        <v>1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10" t="n">
        <v>0</v>
      </c>
      <c r="L20" s="3" t="n">
        <v>1</v>
      </c>
      <c r="M20" s="3" t="n">
        <v>1</v>
      </c>
      <c r="N20" s="3" t="n">
        <v>1</v>
      </c>
    </row>
    <row r="21">
      <c r="A21" s="3" t="inlineStr">
        <is>
          <t>2ITY</t>
        </is>
      </c>
      <c r="B21" s="3" t="inlineStr">
        <is>
          <t>Gefitinib</t>
        </is>
      </c>
      <c r="C21" s="3" t="inlineStr"/>
      <c r="D21" s="3" t="inlineStr">
        <is>
          <t>IRE+a</t>
        </is>
      </c>
      <c r="E21" s="10" t="n">
        <v>2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10" t="n">
        <v>0</v>
      </c>
      <c r="L21" s="3" t="n">
        <v>1</v>
      </c>
      <c r="M21" s="3" t="n">
        <v>1</v>
      </c>
      <c r="N21" s="3" t="n">
        <v>1</v>
      </c>
    </row>
    <row r="22">
      <c r="A22" s="3" t="inlineStr">
        <is>
          <t>2ITY</t>
        </is>
      </c>
      <c r="B22" s="3" t="inlineStr">
        <is>
          <t>Gefitinib</t>
        </is>
      </c>
      <c r="C22" s="3" t="inlineStr"/>
      <c r="D22" s="3" t="inlineStr">
        <is>
          <t>IRE01</t>
        </is>
      </c>
      <c r="E22" s="10" t="n">
        <v>-0</v>
      </c>
      <c r="F22" s="10" t="n">
        <v>0.7</v>
      </c>
      <c r="G22" s="10" t="n">
        <v>0.7</v>
      </c>
      <c r="H22" s="10" t="n">
        <v>0.7</v>
      </c>
      <c r="I22" s="10" t="n">
        <v>0.651</v>
      </c>
      <c r="J22" s="10" t="n">
        <v>0.652</v>
      </c>
      <c r="K22" s="10" t="n">
        <v>0.648</v>
      </c>
      <c r="L22" s="3" t="n">
        <v>1</v>
      </c>
      <c r="M22" s="3" t="n">
        <v>1</v>
      </c>
      <c r="N22" s="3" t="n">
        <v>1</v>
      </c>
    </row>
    <row r="23">
      <c r="A23" s="3" t="inlineStr">
        <is>
          <t>2ITZ</t>
        </is>
      </c>
      <c r="B23" s="3" t="inlineStr">
        <is>
          <t>Gefitinib</t>
        </is>
      </c>
      <c r="C23" s="3" t="inlineStr"/>
      <c r="D23" s="3" t="inlineStr">
        <is>
          <t>IRE+1</t>
        </is>
      </c>
      <c r="E23" s="10" t="n">
        <v>1</v>
      </c>
      <c r="F23" s="10" t="n">
        <v>0.298</v>
      </c>
      <c r="G23" s="10" t="n">
        <v>0.298</v>
      </c>
      <c r="H23" s="10" t="n">
        <v>0.298</v>
      </c>
      <c r="I23" s="10" t="n">
        <v>0.639</v>
      </c>
      <c r="J23" s="10" t="n">
        <v>0.652</v>
      </c>
      <c r="K23" s="10" t="n">
        <v>0.663</v>
      </c>
      <c r="L23" s="3" t="n">
        <v>1</v>
      </c>
      <c r="M23" s="3" t="n">
        <v>1</v>
      </c>
      <c r="N23" s="3" t="n">
        <v>1</v>
      </c>
    </row>
    <row r="24">
      <c r="A24" s="3" t="inlineStr">
        <is>
          <t>2ITZ</t>
        </is>
      </c>
      <c r="B24" s="3" t="inlineStr">
        <is>
          <t>Gefitinib</t>
        </is>
      </c>
      <c r="C24" s="3" t="inlineStr"/>
      <c r="D24" s="3" t="inlineStr">
        <is>
          <t>IRE+2</t>
        </is>
      </c>
      <c r="E24" s="10" t="n">
        <v>1</v>
      </c>
      <c r="F24" s="10" t="n">
        <v>0.002</v>
      </c>
      <c r="G24" s="10" t="n">
        <v>0.002</v>
      </c>
      <c r="H24" s="10" t="n">
        <v>0.002</v>
      </c>
      <c r="I24" s="10" t="n">
        <v>0</v>
      </c>
      <c r="J24" s="10" t="n">
        <v>0</v>
      </c>
      <c r="K24" s="10" t="n">
        <v>0</v>
      </c>
      <c r="L24" s="3" t="n">
        <v>1</v>
      </c>
      <c r="M24" s="3" t="n">
        <v>1</v>
      </c>
      <c r="N24" s="3" t="n">
        <v>1</v>
      </c>
    </row>
    <row r="25">
      <c r="A25" s="3" t="inlineStr">
        <is>
          <t>2ITZ</t>
        </is>
      </c>
      <c r="B25" s="3" t="inlineStr">
        <is>
          <t>Gefitinib</t>
        </is>
      </c>
      <c r="C25" s="3" t="inlineStr"/>
      <c r="D25" s="3" t="inlineStr">
        <is>
          <t>IRE+3</t>
        </is>
      </c>
      <c r="E25" s="10" t="n">
        <v>1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10" t="n">
        <v>0</v>
      </c>
      <c r="L25" s="3" t="n">
        <v>1</v>
      </c>
      <c r="M25" s="3" t="n">
        <v>1</v>
      </c>
      <c r="N25" s="3" t="n">
        <v>1</v>
      </c>
    </row>
    <row r="26">
      <c r="A26" s="3" t="inlineStr">
        <is>
          <t>2ITZ</t>
        </is>
      </c>
      <c r="B26" s="3" t="inlineStr">
        <is>
          <t>Gefitinib</t>
        </is>
      </c>
      <c r="C26" s="3" t="inlineStr"/>
      <c r="D26" s="3" t="inlineStr">
        <is>
          <t>IRE+a</t>
        </is>
      </c>
      <c r="E26" s="10" t="n">
        <v>2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10" t="n">
        <v>0</v>
      </c>
      <c r="L26" s="3" t="n">
        <v>1</v>
      </c>
      <c r="M26" s="3" t="n">
        <v>1</v>
      </c>
      <c r="N26" s="3" t="n">
        <v>1</v>
      </c>
    </row>
    <row r="27">
      <c r="A27" s="3" t="inlineStr">
        <is>
          <t>2ITZ</t>
        </is>
      </c>
      <c r="B27" s="3" t="inlineStr">
        <is>
          <t>Gefitinib</t>
        </is>
      </c>
      <c r="C27" s="3" t="inlineStr"/>
      <c r="D27" s="3" t="inlineStr">
        <is>
          <t>IRE01</t>
        </is>
      </c>
      <c r="E27" s="10" t="n">
        <v>-0</v>
      </c>
      <c r="F27" s="10" t="n">
        <v>0.7</v>
      </c>
      <c r="G27" s="10" t="n">
        <v>0.7</v>
      </c>
      <c r="H27" s="10" t="n">
        <v>0.7</v>
      </c>
      <c r="I27" s="10" t="n">
        <v>0.361</v>
      </c>
      <c r="J27" s="10" t="n">
        <v>0.348</v>
      </c>
      <c r="K27" s="10" t="n">
        <v>0.337</v>
      </c>
      <c r="L27" s="3" t="n">
        <v>1</v>
      </c>
      <c r="M27" s="3" t="n">
        <v>1</v>
      </c>
      <c r="N27" s="3" t="n">
        <v>1</v>
      </c>
    </row>
    <row r="28">
      <c r="A28" s="3" t="inlineStr">
        <is>
          <t>2WGJ</t>
        </is>
      </c>
      <c r="B28" s="3" t="inlineStr">
        <is>
          <t>Crizotinib</t>
        </is>
      </c>
      <c r="C28" s="3" t="inlineStr"/>
      <c r="D28" s="3" t="inlineStr">
        <is>
          <t>VGH+1</t>
        </is>
      </c>
      <c r="E28" s="10" t="n">
        <v>1</v>
      </c>
      <c r="F28" s="10" t="n">
        <v>0.378</v>
      </c>
      <c r="G28" s="10" t="n">
        <v>0.378</v>
      </c>
      <c r="H28" s="10" t="n">
        <v>0.378</v>
      </c>
      <c r="I28" s="10" t="n">
        <v>0.959</v>
      </c>
      <c r="J28" s="10" t="n">
        <v>0.958</v>
      </c>
      <c r="K28" s="10" t="n">
        <v>0.967</v>
      </c>
      <c r="L28" s="3" t="n">
        <v>1</v>
      </c>
      <c r="M28" s="3" t="n">
        <v>1</v>
      </c>
      <c r="N28" s="3" t="n">
        <v>1</v>
      </c>
    </row>
    <row r="29">
      <c r="A29" s="3" t="inlineStr">
        <is>
          <t>2WGJ</t>
        </is>
      </c>
      <c r="B29" s="3" t="inlineStr">
        <is>
          <t>Crizotinib</t>
        </is>
      </c>
      <c r="C29" s="3" t="inlineStr"/>
      <c r="D29" s="3" t="inlineStr">
        <is>
          <t>VGH+2</t>
        </is>
      </c>
      <c r="E29" s="10" t="n">
        <v>1</v>
      </c>
      <c r="F29" s="10" t="n">
        <v>0.002</v>
      </c>
      <c r="G29" s="10" t="n">
        <v>0.002</v>
      </c>
      <c r="H29" s="10" t="n">
        <v>0.002</v>
      </c>
      <c r="I29" s="10" t="n">
        <v>0</v>
      </c>
      <c r="J29" s="10" t="n">
        <v>0</v>
      </c>
      <c r="K29" s="10" t="n">
        <v>0</v>
      </c>
      <c r="L29" s="3" t="n">
        <v>1</v>
      </c>
      <c r="M29" s="3" t="n">
        <v>1</v>
      </c>
      <c r="N29" s="3" t="n">
        <v>1</v>
      </c>
    </row>
    <row r="30">
      <c r="A30" s="3" t="inlineStr">
        <is>
          <t>2WGJ</t>
        </is>
      </c>
      <c r="B30" s="3" t="inlineStr">
        <is>
          <t>Crizotinib</t>
        </is>
      </c>
      <c r="C30" s="3" t="inlineStr"/>
      <c r="D30" s="3" t="inlineStr">
        <is>
          <t>VGH+a</t>
        </is>
      </c>
      <c r="E30" s="10" t="n">
        <v>2</v>
      </c>
      <c r="F30" s="10" t="n">
        <v>0.615</v>
      </c>
      <c r="G30" s="10" t="n">
        <v>0.615</v>
      </c>
      <c r="H30" s="10" t="n">
        <v>0.615</v>
      </c>
      <c r="I30" s="10" t="n">
        <v>0</v>
      </c>
      <c r="J30" s="10" t="n">
        <v>0</v>
      </c>
      <c r="K30" s="10" t="n">
        <v>0</v>
      </c>
      <c r="L30" s="3" t="n">
        <v>2</v>
      </c>
      <c r="M30" s="3" t="n">
        <v>1</v>
      </c>
      <c r="N30" s="3" t="n">
        <v>1</v>
      </c>
    </row>
    <row r="31">
      <c r="A31" s="3" t="inlineStr">
        <is>
          <t>2WGJ</t>
        </is>
      </c>
      <c r="B31" s="3" t="inlineStr">
        <is>
          <t>Crizotinib</t>
        </is>
      </c>
      <c r="C31" s="3" t="inlineStr"/>
      <c r="D31" s="3" t="inlineStr">
        <is>
          <t>VGH01</t>
        </is>
      </c>
      <c r="E31" s="10" t="n">
        <v>0</v>
      </c>
      <c r="F31" s="10" t="n">
        <v>0.005</v>
      </c>
      <c r="G31" s="10" t="n">
        <v>0.005</v>
      </c>
      <c r="H31" s="10" t="n">
        <v>0.005</v>
      </c>
      <c r="I31" s="10" t="n">
        <v>0.041</v>
      </c>
      <c r="J31" s="10" t="n">
        <v>0.042</v>
      </c>
      <c r="K31" s="10" t="n">
        <v>0.033</v>
      </c>
      <c r="L31" s="3" t="n">
        <v>1</v>
      </c>
      <c r="M31" s="3" t="n">
        <v>1</v>
      </c>
      <c r="N31" s="3" t="n">
        <v>1</v>
      </c>
    </row>
    <row r="32">
      <c r="A32" s="3" t="inlineStr">
        <is>
          <t>2XP2</t>
        </is>
      </c>
      <c r="B32" s="3" t="inlineStr">
        <is>
          <t>Crizotinib</t>
        </is>
      </c>
      <c r="C32" s="3" t="inlineStr"/>
      <c r="D32" s="3" t="inlineStr">
        <is>
          <t>VGH+1</t>
        </is>
      </c>
      <c r="E32" s="10" t="n">
        <v>1</v>
      </c>
      <c r="F32" s="10" t="n">
        <v>0.378</v>
      </c>
      <c r="G32" s="10" t="n">
        <v>0.378</v>
      </c>
      <c r="H32" s="10" t="n">
        <v>0.378</v>
      </c>
      <c r="I32" s="10" t="n">
        <v>1</v>
      </c>
      <c r="J32" s="10" t="n">
        <v>1</v>
      </c>
      <c r="K32" s="10" t="n">
        <v>1</v>
      </c>
      <c r="L32" s="3" t="n">
        <v>1</v>
      </c>
      <c r="M32" s="3" t="n">
        <v>1</v>
      </c>
      <c r="N32" s="3" t="n">
        <v>1</v>
      </c>
    </row>
    <row r="33">
      <c r="A33" s="3" t="inlineStr">
        <is>
          <t>2XP2</t>
        </is>
      </c>
      <c r="B33" s="3" t="inlineStr">
        <is>
          <t>Crizotinib</t>
        </is>
      </c>
      <c r="C33" s="3" t="inlineStr"/>
      <c r="D33" s="3" t="inlineStr">
        <is>
          <t>VGH+2</t>
        </is>
      </c>
      <c r="E33" s="10" t="n">
        <v>1</v>
      </c>
      <c r="F33" s="10" t="n">
        <v>0.002</v>
      </c>
      <c r="G33" s="10" t="n">
        <v>0.002</v>
      </c>
      <c r="H33" s="10" t="n">
        <v>0.002</v>
      </c>
      <c r="I33" s="10" t="n">
        <v>0</v>
      </c>
      <c r="J33" s="10" t="n">
        <v>0</v>
      </c>
      <c r="K33" s="10" t="n">
        <v>0</v>
      </c>
      <c r="L33" s="3" t="n">
        <v>1</v>
      </c>
      <c r="M33" s="3" t="n">
        <v>1</v>
      </c>
      <c r="N33" s="3" t="n">
        <v>1</v>
      </c>
    </row>
    <row r="34">
      <c r="A34" s="3" t="inlineStr">
        <is>
          <t>2XP2</t>
        </is>
      </c>
      <c r="B34" s="3" t="inlineStr">
        <is>
          <t>Crizotinib</t>
        </is>
      </c>
      <c r="C34" s="3" t="inlineStr"/>
      <c r="D34" s="3" t="inlineStr">
        <is>
          <t>VGH+a</t>
        </is>
      </c>
      <c r="E34" s="10" t="n">
        <v>2</v>
      </c>
      <c r="F34" s="10" t="n">
        <v>0.615</v>
      </c>
      <c r="G34" s="10" t="n">
        <v>0.615</v>
      </c>
      <c r="H34" s="10" t="n">
        <v>0.615</v>
      </c>
      <c r="I34" s="10" t="n">
        <v>0</v>
      </c>
      <c r="J34" s="10" t="n">
        <v>0</v>
      </c>
      <c r="K34" s="10" t="n">
        <v>0</v>
      </c>
      <c r="L34" s="3" t="n">
        <v>1</v>
      </c>
      <c r="M34" s="3" t="n">
        <v>1</v>
      </c>
      <c r="N34" s="3" t="n">
        <v>1</v>
      </c>
    </row>
    <row r="35">
      <c r="A35" s="3" t="inlineStr">
        <is>
          <t>2XP2</t>
        </is>
      </c>
      <c r="B35" s="3" t="inlineStr">
        <is>
          <t>Crizotinib</t>
        </is>
      </c>
      <c r="C35" s="3" t="inlineStr"/>
      <c r="D35" s="3" t="inlineStr">
        <is>
          <t>VGH01</t>
        </is>
      </c>
      <c r="E35" s="10" t="n">
        <v>0</v>
      </c>
      <c r="F35" s="10" t="n">
        <v>0.005</v>
      </c>
      <c r="G35" s="10" t="n">
        <v>0.005</v>
      </c>
      <c r="H35" s="10" t="n">
        <v>0.005</v>
      </c>
      <c r="I35" s="10" t="n">
        <v>0</v>
      </c>
      <c r="J35" s="10" t="n">
        <v>0</v>
      </c>
      <c r="K35" s="10" t="n">
        <v>0</v>
      </c>
      <c r="L35" s="3" t="n">
        <v>1</v>
      </c>
      <c r="M35" s="3" t="n">
        <v>1</v>
      </c>
      <c r="N35" s="3" t="n">
        <v>1</v>
      </c>
    </row>
    <row r="36">
      <c r="A36" s="3" t="inlineStr">
        <is>
          <t>2YFX</t>
        </is>
      </c>
      <c r="B36" s="3" t="inlineStr">
        <is>
          <t>Crizotinib</t>
        </is>
      </c>
      <c r="C36" s="3" t="inlineStr"/>
      <c r="D36" s="3" t="inlineStr">
        <is>
          <t>VGH+1</t>
        </is>
      </c>
      <c r="E36" s="10" t="n">
        <v>1</v>
      </c>
      <c r="F36" s="10" t="n">
        <v>0.378</v>
      </c>
      <c r="G36" s="10" t="n">
        <v>0.378</v>
      </c>
      <c r="H36" s="10" t="n">
        <v>0.378</v>
      </c>
      <c r="I36" s="10" t="n">
        <v>1</v>
      </c>
      <c r="J36" s="10" t="n">
        <v>1</v>
      </c>
      <c r="K36" s="10" t="n">
        <v>1</v>
      </c>
      <c r="L36" s="3" t="n">
        <v>1</v>
      </c>
      <c r="M36" s="3" t="n">
        <v>1</v>
      </c>
      <c r="N36" s="3" t="n">
        <v>1</v>
      </c>
    </row>
    <row r="37">
      <c r="A37" s="3" t="inlineStr">
        <is>
          <t>2YFX</t>
        </is>
      </c>
      <c r="B37" s="3" t="inlineStr">
        <is>
          <t>Crizotinib</t>
        </is>
      </c>
      <c r="C37" s="3" t="inlineStr"/>
      <c r="D37" s="3" t="inlineStr">
        <is>
          <t>VGH+2</t>
        </is>
      </c>
      <c r="E37" s="10" t="n">
        <v>1</v>
      </c>
      <c r="F37" s="10" t="n">
        <v>0.002</v>
      </c>
      <c r="G37" s="10" t="n">
        <v>0.002</v>
      </c>
      <c r="H37" s="10" t="n">
        <v>0.002</v>
      </c>
      <c r="I37" s="10" t="n">
        <v>0</v>
      </c>
      <c r="J37" s="10" t="n">
        <v>0</v>
      </c>
      <c r="K37" s="10" t="n">
        <v>0</v>
      </c>
      <c r="L37" s="3" t="n">
        <v>1</v>
      </c>
      <c r="M37" s="3" t="n">
        <v>1</v>
      </c>
      <c r="N37" s="3" t="n">
        <v>1</v>
      </c>
    </row>
    <row r="38">
      <c r="A38" s="3" t="inlineStr">
        <is>
          <t>2YFX</t>
        </is>
      </c>
      <c r="B38" s="3" t="inlineStr">
        <is>
          <t>Crizotinib</t>
        </is>
      </c>
      <c r="C38" s="3" t="inlineStr"/>
      <c r="D38" s="3" t="inlineStr">
        <is>
          <t>VGH+a</t>
        </is>
      </c>
      <c r="E38" s="10" t="n">
        <v>2</v>
      </c>
      <c r="F38" s="10" t="n">
        <v>0.615</v>
      </c>
      <c r="G38" s="10" t="n">
        <v>0.615</v>
      </c>
      <c r="H38" s="10" t="n">
        <v>0.615</v>
      </c>
      <c r="I38" s="10" t="n">
        <v>0</v>
      </c>
      <c r="J38" s="10" t="n">
        <v>0</v>
      </c>
      <c r="K38" s="10" t="n">
        <v>0</v>
      </c>
      <c r="L38" s="3" t="n">
        <v>2</v>
      </c>
      <c r="M38" s="3" t="n">
        <v>1</v>
      </c>
      <c r="N38" s="3" t="n">
        <v>1</v>
      </c>
    </row>
    <row r="39">
      <c r="A39" s="3" t="inlineStr">
        <is>
          <t>2YFX</t>
        </is>
      </c>
      <c r="B39" s="3" t="inlineStr">
        <is>
          <t>Crizotinib</t>
        </is>
      </c>
      <c r="C39" s="3" t="inlineStr"/>
      <c r="D39" s="3" t="inlineStr">
        <is>
          <t>VGH01</t>
        </is>
      </c>
      <c r="E39" s="10" t="n">
        <v>0</v>
      </c>
      <c r="F39" s="10" t="n">
        <v>0.005</v>
      </c>
      <c r="G39" s="10" t="n">
        <v>0.005</v>
      </c>
      <c r="H39" s="10" t="n">
        <v>0.005</v>
      </c>
      <c r="I39" s="10" t="n">
        <v>0</v>
      </c>
      <c r="J39" s="10" t="n">
        <v>0</v>
      </c>
      <c r="K39" s="10" t="n">
        <v>0</v>
      </c>
      <c r="L39" s="3" t="n">
        <v>1</v>
      </c>
      <c r="M39" s="3" t="n">
        <v>1</v>
      </c>
      <c r="N39" s="3" t="n">
        <v>1</v>
      </c>
    </row>
    <row r="40">
      <c r="A40" s="3" t="inlineStr">
        <is>
          <t>3AOX</t>
        </is>
      </c>
      <c r="B40" s="3" t="inlineStr">
        <is>
          <t>Alectinib</t>
        </is>
      </c>
      <c r="C40" s="3" t="inlineStr"/>
      <c r="D40" s="3" t="inlineStr">
        <is>
          <t>EMH+1</t>
        </is>
      </c>
      <c r="E40" s="10" t="n">
        <v>1</v>
      </c>
      <c r="F40" s="10" t="n">
        <v>0.5610000000000001</v>
      </c>
      <c r="G40" s="10" t="n">
        <v>0.5610000000000001</v>
      </c>
      <c r="H40" s="10" t="n">
        <v>0.5610000000000001</v>
      </c>
      <c r="I40" s="10" t="n">
        <v>0.79</v>
      </c>
      <c r="J40" s="10" t="n">
        <v>0.901</v>
      </c>
      <c r="K40" s="10" t="n">
        <v>0.788</v>
      </c>
      <c r="L40" s="3" t="n">
        <v>1</v>
      </c>
      <c r="M40" s="3" t="n">
        <v>1</v>
      </c>
      <c r="N40" s="3" t="n">
        <v>1</v>
      </c>
    </row>
    <row r="41">
      <c r="A41" s="3" t="inlineStr">
        <is>
          <t>3AOX</t>
        </is>
      </c>
      <c r="B41" s="3" t="inlineStr">
        <is>
          <t>Alectinib</t>
        </is>
      </c>
      <c r="C41" s="3" t="inlineStr"/>
      <c r="D41" s="3" t="inlineStr">
        <is>
          <t>EMH01</t>
        </is>
      </c>
      <c r="E41" s="10" t="n">
        <v>-0</v>
      </c>
      <c r="F41" s="10" t="n">
        <v>0.439</v>
      </c>
      <c r="G41" s="10" t="n">
        <v>0.439</v>
      </c>
      <c r="H41" s="10" t="n">
        <v>0.439</v>
      </c>
      <c r="I41" s="10" t="n">
        <v>0.21</v>
      </c>
      <c r="J41" s="10" t="n">
        <v>0.099</v>
      </c>
      <c r="K41" s="10" t="n">
        <v>0.212</v>
      </c>
      <c r="L41" s="3" t="n">
        <v>1</v>
      </c>
      <c r="M41" s="3" t="n">
        <v>1</v>
      </c>
      <c r="N41" s="3" t="n">
        <v>2</v>
      </c>
    </row>
    <row r="42">
      <c r="A42" s="3" t="inlineStr">
        <is>
          <t>3CS9</t>
        </is>
      </c>
      <c r="B42" s="3" t="inlineStr">
        <is>
          <t>Nilotinib</t>
        </is>
      </c>
      <c r="C42" s="3" t="inlineStr"/>
      <c r="D42" s="3" t="inlineStr">
        <is>
          <t>NIL+1</t>
        </is>
      </c>
      <c r="E42" s="10" t="n">
        <v>1</v>
      </c>
      <c r="F42" s="10" t="n">
        <v>0.093</v>
      </c>
      <c r="G42" s="10" t="n">
        <v>0.093</v>
      </c>
      <c r="H42" s="10" t="n">
        <v>0.093</v>
      </c>
      <c r="I42" s="10" t="n">
        <v>0.417</v>
      </c>
      <c r="J42" s="10" t="n">
        <v>0.629</v>
      </c>
      <c r="K42" s="10" t="n">
        <v>0.194</v>
      </c>
      <c r="L42" s="3" t="n">
        <v>1</v>
      </c>
      <c r="M42" s="3" t="n">
        <v>1</v>
      </c>
      <c r="N42" s="3" t="n">
        <v>1</v>
      </c>
    </row>
    <row r="43">
      <c r="A43" s="3" t="inlineStr">
        <is>
          <t>3CS9</t>
        </is>
      </c>
      <c r="B43" s="3" t="inlineStr">
        <is>
          <t>Nilotinib</t>
        </is>
      </c>
      <c r="C43" s="3" t="inlineStr"/>
      <c r="D43" s="3" t="inlineStr">
        <is>
          <t>NIL+2</t>
        </is>
      </c>
      <c r="E43" s="10" t="n">
        <v>1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10" t="n">
        <v>0</v>
      </c>
      <c r="L43" s="3" t="n">
        <v>1</v>
      </c>
      <c r="M43" s="3" t="n">
        <v>1</v>
      </c>
      <c r="N43" s="3" t="n">
        <v>1</v>
      </c>
    </row>
    <row r="44">
      <c r="A44" s="3" t="inlineStr">
        <is>
          <t>3CS9</t>
        </is>
      </c>
      <c r="B44" s="3" t="inlineStr">
        <is>
          <t>Nilotinib</t>
        </is>
      </c>
      <c r="C44" s="3" t="inlineStr"/>
      <c r="D44" s="3" t="inlineStr">
        <is>
          <t>NIL01</t>
        </is>
      </c>
      <c r="E44" s="10" t="n">
        <v>-0</v>
      </c>
      <c r="F44" s="10" t="n">
        <v>0.907</v>
      </c>
      <c r="G44" s="10" t="n">
        <v>0.907</v>
      </c>
      <c r="H44" s="10" t="n">
        <v>0.907</v>
      </c>
      <c r="I44" s="10" t="n">
        <v>0.583</v>
      </c>
      <c r="J44" s="10" t="n">
        <v>0.371</v>
      </c>
      <c r="K44" s="10" t="n">
        <v>0.806</v>
      </c>
      <c r="L44" s="3" t="n">
        <v>1</v>
      </c>
      <c r="M44" s="3" t="n">
        <v>1</v>
      </c>
      <c r="N44" s="3" t="n">
        <v>2</v>
      </c>
    </row>
    <row r="45">
      <c r="A45" s="3" t="inlineStr">
        <is>
          <t>3LXK</t>
        </is>
      </c>
      <c r="B45" s="3" t="inlineStr">
        <is>
          <t>Tofacitinib</t>
        </is>
      </c>
      <c r="C45" s="3" t="inlineStr"/>
      <c r="D45" s="3" t="inlineStr">
        <is>
          <t>MI1+1</t>
        </is>
      </c>
      <c r="E45" s="10" t="n">
        <v>1</v>
      </c>
      <c r="F45" s="10" t="n">
        <v>0.029</v>
      </c>
      <c r="G45" s="10" t="n">
        <v>0.029</v>
      </c>
      <c r="H45" s="10" t="n">
        <v>0.029</v>
      </c>
      <c r="I45" s="10" t="n">
        <v>0.047</v>
      </c>
      <c r="J45" s="10" t="n">
        <v>0.036</v>
      </c>
      <c r="K45" s="10" t="n">
        <v>0.045</v>
      </c>
      <c r="L45" s="3" t="n">
        <v>2</v>
      </c>
      <c r="M45" s="3" t="n">
        <v>2</v>
      </c>
      <c r="N45" s="3" t="n">
        <v>2</v>
      </c>
    </row>
    <row r="46">
      <c r="A46" s="3" t="inlineStr">
        <is>
          <t>3LXK</t>
        </is>
      </c>
      <c r="B46" s="3" t="inlineStr">
        <is>
          <t>Tofacitinib</t>
        </is>
      </c>
      <c r="C46" s="3" t="inlineStr"/>
      <c r="D46" s="3" t="inlineStr">
        <is>
          <t>MI101</t>
        </is>
      </c>
      <c r="E46" s="10" t="n">
        <v>0</v>
      </c>
      <c r="F46" s="10" t="n">
        <v>0.971</v>
      </c>
      <c r="G46" s="10" t="n">
        <v>0.971</v>
      </c>
      <c r="H46" s="10" t="n">
        <v>0.971</v>
      </c>
      <c r="I46" s="10" t="n">
        <v>0.953</v>
      </c>
      <c r="J46" s="10" t="n">
        <v>0.964</v>
      </c>
      <c r="K46" s="10" t="n">
        <v>0.955</v>
      </c>
      <c r="L46" s="3" t="n">
        <v>3</v>
      </c>
      <c r="M46" s="3" t="n">
        <v>3</v>
      </c>
      <c r="N46" s="3" t="n">
        <v>3</v>
      </c>
    </row>
    <row r="47">
      <c r="A47" s="3" t="inlineStr">
        <is>
          <t>3PYY</t>
        </is>
      </c>
      <c r="B47" s="3" t="inlineStr">
        <is>
          <t>Imatinib</t>
        </is>
      </c>
      <c r="C47" s="3" t="inlineStr"/>
      <c r="D47" s="3" t="inlineStr">
        <is>
          <t>STI+1</t>
        </is>
      </c>
      <c r="E47" s="10" t="n">
        <v>1.004</v>
      </c>
      <c r="F47" s="10" t="n">
        <v>0.588</v>
      </c>
      <c r="G47" s="10" t="n">
        <v>0.588</v>
      </c>
      <c r="H47" s="10" t="n">
        <v>0.588</v>
      </c>
      <c r="I47" s="10" t="n">
        <v>0.004</v>
      </c>
      <c r="J47" s="10" t="n">
        <v>0.003</v>
      </c>
      <c r="K47" s="10" t="n">
        <v>0.005</v>
      </c>
      <c r="L47" s="3" t="n">
        <v>1</v>
      </c>
      <c r="M47" s="3" t="n">
        <v>1</v>
      </c>
      <c r="N47" s="3" t="n">
        <v>1</v>
      </c>
    </row>
    <row r="48">
      <c r="A48" s="3" t="inlineStr">
        <is>
          <t>3PYY</t>
        </is>
      </c>
      <c r="B48" s="3" t="inlineStr">
        <is>
          <t>Imatinib</t>
        </is>
      </c>
      <c r="C48" s="3" t="inlineStr"/>
      <c r="D48" s="3" t="inlineStr">
        <is>
          <t>STI+2</t>
        </is>
      </c>
      <c r="E48" s="10" t="n">
        <v>0.995</v>
      </c>
      <c r="F48" s="10" t="n">
        <v>0.38</v>
      </c>
      <c r="G48" s="10" t="n">
        <v>0.38</v>
      </c>
      <c r="H48" s="10" t="n">
        <v>0.38</v>
      </c>
      <c r="I48" s="10" t="n">
        <v>0.996</v>
      </c>
      <c r="J48" s="10" t="n">
        <v>0.997</v>
      </c>
      <c r="K48" s="10" t="n">
        <v>0.995</v>
      </c>
      <c r="L48" s="3" t="n">
        <v>1</v>
      </c>
      <c r="M48" s="3" t="n">
        <v>1</v>
      </c>
      <c r="N48" s="3" t="n">
        <v>1</v>
      </c>
    </row>
    <row r="49">
      <c r="A49" s="3" t="inlineStr">
        <is>
          <t>3PYY</t>
        </is>
      </c>
      <c r="B49" s="3" t="inlineStr">
        <is>
          <t>Imatinib</t>
        </is>
      </c>
      <c r="C49" s="3" t="inlineStr"/>
      <c r="D49" s="3" t="inlineStr">
        <is>
          <t>STI+a</t>
        </is>
      </c>
      <c r="E49" s="10" t="n">
        <v>1.995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3" t="n">
        <v>1</v>
      </c>
      <c r="M49" s="3" t="n">
        <v>1</v>
      </c>
      <c r="N49" s="3" t="n">
        <v>1</v>
      </c>
    </row>
    <row r="50">
      <c r="A50" s="3" t="inlineStr">
        <is>
          <t>3PYY</t>
        </is>
      </c>
      <c r="B50" s="3" t="inlineStr">
        <is>
          <t>Imatinib</t>
        </is>
      </c>
      <c r="C50" s="3" t="inlineStr"/>
      <c r="D50" s="3" t="inlineStr">
        <is>
          <t>STI+b</t>
        </is>
      </c>
      <c r="E50" s="10" t="n">
        <v>2.002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3" t="n">
        <v>1</v>
      </c>
      <c r="M50" s="3" t="n">
        <v>1</v>
      </c>
      <c r="N50" s="3" t="n">
        <v>1</v>
      </c>
    </row>
    <row r="51">
      <c r="A51" s="3" t="inlineStr">
        <is>
          <t>3PYY</t>
        </is>
      </c>
      <c r="B51" s="3" t="inlineStr">
        <is>
          <t>Imatinib</t>
        </is>
      </c>
      <c r="C51" s="3" t="inlineStr"/>
      <c r="D51" s="3" t="inlineStr">
        <is>
          <t>STI01</t>
        </is>
      </c>
      <c r="E51" s="10" t="n">
        <v>-0.002</v>
      </c>
      <c r="F51" s="10" t="n">
        <v>0.032</v>
      </c>
      <c r="G51" s="10" t="n">
        <v>0.032</v>
      </c>
      <c r="H51" s="10" t="n">
        <v>0.032</v>
      </c>
      <c r="I51" s="10" t="n">
        <v>0</v>
      </c>
      <c r="J51" s="10" t="n">
        <v>0</v>
      </c>
      <c r="K51" s="10" t="n">
        <v>0</v>
      </c>
      <c r="L51" s="3" t="n">
        <v>1</v>
      </c>
      <c r="M51" s="3" t="n">
        <v>1</v>
      </c>
      <c r="N51" s="3" t="n">
        <v>1</v>
      </c>
    </row>
    <row r="52">
      <c r="A52" s="3" t="inlineStr">
        <is>
          <t>3UE4</t>
        </is>
      </c>
      <c r="B52" s="3" t="inlineStr">
        <is>
          <t>Bosutinib</t>
        </is>
      </c>
      <c r="C52" s="3" t="inlineStr"/>
      <c r="D52" s="3" t="inlineStr">
        <is>
          <t>DB8+1</t>
        </is>
      </c>
      <c r="E52" s="10" t="n">
        <v>1</v>
      </c>
      <c r="F52" s="10" t="n">
        <v>0.888</v>
      </c>
      <c r="G52" s="10" t="n">
        <v>0.888</v>
      </c>
      <c r="H52" s="10" t="n">
        <v>0.888</v>
      </c>
      <c r="I52" s="10" t="n">
        <v>0.5620000000000001</v>
      </c>
      <c r="J52" s="10" t="n">
        <v>0.573</v>
      </c>
      <c r="K52" s="10" t="n">
        <v>0.5620000000000001</v>
      </c>
      <c r="L52" s="3" t="n">
        <v>1</v>
      </c>
      <c r="M52" s="3" t="n">
        <v>1</v>
      </c>
      <c r="N52" s="3" t="n">
        <v>1</v>
      </c>
    </row>
    <row r="53">
      <c r="A53" s="3" t="inlineStr">
        <is>
          <t>3UE4</t>
        </is>
      </c>
      <c r="B53" s="3" t="inlineStr">
        <is>
          <t>Bosutinib</t>
        </is>
      </c>
      <c r="C53" s="3" t="inlineStr"/>
      <c r="D53" s="3" t="inlineStr">
        <is>
          <t>DB8+2</t>
        </is>
      </c>
      <c r="E53" s="10" t="n">
        <v>1</v>
      </c>
      <c r="F53" s="10" t="n">
        <v>0.057</v>
      </c>
      <c r="G53" s="10" t="n">
        <v>0.057</v>
      </c>
      <c r="H53" s="10" t="n">
        <v>0.057</v>
      </c>
      <c r="I53" s="10" t="n">
        <v>0.391</v>
      </c>
      <c r="J53" s="10" t="n">
        <v>0.382</v>
      </c>
      <c r="K53" s="10" t="n">
        <v>0.393</v>
      </c>
      <c r="L53" s="3" t="n">
        <v>1</v>
      </c>
      <c r="M53" s="3" t="n">
        <v>1</v>
      </c>
      <c r="N53" s="3" t="n">
        <v>1</v>
      </c>
    </row>
    <row r="54">
      <c r="A54" s="3" t="inlineStr">
        <is>
          <t>3UE4</t>
        </is>
      </c>
      <c r="B54" s="3" t="inlineStr">
        <is>
          <t>Bosutinib</t>
        </is>
      </c>
      <c r="C54" s="3" t="inlineStr"/>
      <c r="D54" s="3" t="inlineStr">
        <is>
          <t>DB801</t>
        </is>
      </c>
      <c r="E54" s="10" t="n">
        <v>-0</v>
      </c>
      <c r="F54" s="10" t="n">
        <v>0.055</v>
      </c>
      <c r="G54" s="10" t="n">
        <v>0.055</v>
      </c>
      <c r="H54" s="10" t="n">
        <v>0.055</v>
      </c>
      <c r="I54" s="10" t="n">
        <v>0.047</v>
      </c>
      <c r="J54" s="10" t="n">
        <v>0.045</v>
      </c>
      <c r="K54" s="10" t="n">
        <v>0.045</v>
      </c>
      <c r="L54" s="3" t="n">
        <v>1</v>
      </c>
      <c r="M54" s="3" t="n">
        <v>1</v>
      </c>
      <c r="N54" s="3" t="n">
        <v>1</v>
      </c>
    </row>
    <row r="55">
      <c r="A55" s="3" t="inlineStr">
        <is>
          <t>3UE4</t>
        </is>
      </c>
      <c r="B55" s="3" t="inlineStr">
        <is>
          <t>Bosutinib</t>
        </is>
      </c>
      <c r="C55" s="3" t="inlineStr"/>
      <c r="D55" s="3" t="inlineStr">
        <is>
          <t>DB802</t>
        </is>
      </c>
      <c r="E55" s="10" t="n">
        <v>-0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10" t="n">
        <v>0</v>
      </c>
      <c r="L55" s="3" t="n">
        <v>1</v>
      </c>
      <c r="M55" s="3" t="n">
        <v>1</v>
      </c>
      <c r="N55" s="3" t="n">
        <v>1</v>
      </c>
    </row>
    <row r="56">
      <c r="A56" s="3" t="inlineStr">
        <is>
          <t>3UG2</t>
        </is>
      </c>
      <c r="B56" s="3" t="inlineStr">
        <is>
          <t>Gefitinib</t>
        </is>
      </c>
      <c r="C56" s="3" t="inlineStr"/>
      <c r="D56" s="3" t="inlineStr">
        <is>
          <t>IRE+1</t>
        </is>
      </c>
      <c r="E56" s="10" t="n">
        <v>1</v>
      </c>
      <c r="F56" s="10" t="n">
        <v>0.298</v>
      </c>
      <c r="G56" s="10" t="n">
        <v>0.298</v>
      </c>
      <c r="H56" s="10" t="n">
        <v>0.298</v>
      </c>
      <c r="I56" s="10" t="n">
        <v>0</v>
      </c>
      <c r="J56" s="10" t="n">
        <v>0.014</v>
      </c>
      <c r="K56" s="10" t="n">
        <v>0.014</v>
      </c>
      <c r="L56" s="3" t="n">
        <v>1</v>
      </c>
      <c r="M56" s="3" t="n">
        <v>1</v>
      </c>
      <c r="N56" s="3" t="n">
        <v>1</v>
      </c>
    </row>
    <row r="57">
      <c r="A57" s="3" t="inlineStr">
        <is>
          <t>3UG2</t>
        </is>
      </c>
      <c r="B57" s="3" t="inlineStr">
        <is>
          <t>Gefitinib</t>
        </is>
      </c>
      <c r="C57" s="3" t="inlineStr"/>
      <c r="D57" s="3" t="inlineStr">
        <is>
          <t>IRE+2</t>
        </is>
      </c>
      <c r="E57" s="10" t="n">
        <v>1</v>
      </c>
      <c r="F57" s="10" t="n">
        <v>0.002</v>
      </c>
      <c r="G57" s="10" t="n">
        <v>0.002</v>
      </c>
      <c r="H57" s="10" t="n">
        <v>0.002</v>
      </c>
      <c r="I57" s="10" t="n">
        <v>0</v>
      </c>
      <c r="J57" s="10" t="n">
        <v>0</v>
      </c>
      <c r="K57" s="10" t="n">
        <v>0</v>
      </c>
      <c r="L57" s="3" t="n">
        <v>1</v>
      </c>
      <c r="M57" s="3" t="n">
        <v>1</v>
      </c>
      <c r="N57" s="3" t="n">
        <v>1</v>
      </c>
    </row>
    <row r="58">
      <c r="A58" s="3" t="inlineStr">
        <is>
          <t>3UG2</t>
        </is>
      </c>
      <c r="B58" s="3" t="inlineStr">
        <is>
          <t>Gefitinib</t>
        </is>
      </c>
      <c r="C58" s="3" t="inlineStr"/>
      <c r="D58" s="3" t="inlineStr">
        <is>
          <t>IRE+3</t>
        </is>
      </c>
      <c r="E58" s="10" t="n">
        <v>1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10" t="n">
        <v>0</v>
      </c>
      <c r="L58" s="3" t="n">
        <v>1</v>
      </c>
      <c r="M58" s="3" t="n">
        <v>1</v>
      </c>
      <c r="N58" s="3" t="n">
        <v>1</v>
      </c>
    </row>
    <row r="59">
      <c r="A59" s="3" t="inlineStr">
        <is>
          <t>3UG2</t>
        </is>
      </c>
      <c r="B59" s="3" t="inlineStr">
        <is>
          <t>Gefitinib</t>
        </is>
      </c>
      <c r="C59" s="3" t="inlineStr"/>
      <c r="D59" s="3" t="inlineStr">
        <is>
          <t>IRE+a</t>
        </is>
      </c>
      <c r="E59" s="10" t="n">
        <v>2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3" t="n">
        <v>1</v>
      </c>
      <c r="M59" s="3" t="n">
        <v>1</v>
      </c>
      <c r="N59" s="3" t="n">
        <v>1</v>
      </c>
    </row>
    <row r="60">
      <c r="A60" s="3" t="inlineStr">
        <is>
          <t>3UG2</t>
        </is>
      </c>
      <c r="B60" s="3" t="inlineStr">
        <is>
          <t>Gefitinib</t>
        </is>
      </c>
      <c r="C60" s="3" t="inlineStr"/>
      <c r="D60" s="3" t="inlineStr">
        <is>
          <t>IRE01</t>
        </is>
      </c>
      <c r="E60" s="10" t="n">
        <v>-0</v>
      </c>
      <c r="F60" s="10" t="n">
        <v>0.7</v>
      </c>
      <c r="G60" s="10" t="n">
        <v>0.7</v>
      </c>
      <c r="H60" s="10" t="n">
        <v>0.7</v>
      </c>
      <c r="I60" s="10" t="n">
        <v>1</v>
      </c>
      <c r="J60" s="10" t="n">
        <v>0.986</v>
      </c>
      <c r="K60" s="10" t="n">
        <v>0.986</v>
      </c>
      <c r="L60" s="3" t="n">
        <v>1</v>
      </c>
      <c r="M60" s="3" t="n">
        <v>1</v>
      </c>
      <c r="N60" s="3" t="n">
        <v>1</v>
      </c>
    </row>
    <row r="61">
      <c r="A61" s="3" t="inlineStr">
        <is>
          <t>3WZD</t>
        </is>
      </c>
      <c r="B61" s="3" t="inlineStr">
        <is>
          <t>Lenvatinib</t>
        </is>
      </c>
      <c r="C61" s="3" t="inlineStr"/>
      <c r="D61" s="3" t="inlineStr">
        <is>
          <t>LEV-1</t>
        </is>
      </c>
      <c r="E61" s="10" t="n">
        <v>-1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3" t="n">
        <v>1</v>
      </c>
      <c r="M61" s="3" t="n">
        <v>1</v>
      </c>
      <c r="N61" s="3" t="n">
        <v>1</v>
      </c>
    </row>
    <row r="62">
      <c r="A62" s="3" t="inlineStr">
        <is>
          <t>3WZD</t>
        </is>
      </c>
      <c r="B62" s="3" t="inlineStr">
        <is>
          <t>Lenvatinib</t>
        </is>
      </c>
      <c r="C62" s="3" t="inlineStr"/>
      <c r="D62" s="3" t="inlineStr">
        <is>
          <t>LEV-2</t>
        </is>
      </c>
      <c r="E62" s="10" t="n">
        <v>-1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3" t="n">
        <v>1</v>
      </c>
      <c r="M62" s="3" t="n">
        <v>1</v>
      </c>
      <c r="N62" s="3" t="n">
        <v>1</v>
      </c>
    </row>
    <row r="63">
      <c r="A63" s="3" t="inlineStr">
        <is>
          <t>3WZD</t>
        </is>
      </c>
      <c r="B63" s="3" t="inlineStr">
        <is>
          <t>Lenvatinib</t>
        </is>
      </c>
      <c r="C63" s="3" t="inlineStr"/>
      <c r="D63" s="3" t="inlineStr">
        <is>
          <t>LEV01</t>
        </is>
      </c>
      <c r="E63" s="10" t="n">
        <v>0</v>
      </c>
      <c r="F63" s="10" t="n">
        <v>1</v>
      </c>
      <c r="G63" s="10" t="n">
        <v>1</v>
      </c>
      <c r="H63" s="10" t="n">
        <v>1</v>
      </c>
      <c r="I63" s="10" t="n">
        <v>1</v>
      </c>
      <c r="J63" s="10" t="n">
        <v>1</v>
      </c>
      <c r="K63" s="10" t="n">
        <v>1</v>
      </c>
      <c r="L63" s="3" t="n">
        <v>1</v>
      </c>
      <c r="M63" s="3" t="n">
        <v>1</v>
      </c>
      <c r="N63" s="3" t="n">
        <v>1</v>
      </c>
    </row>
    <row r="64">
      <c r="A64" s="3" t="inlineStr">
        <is>
          <t>3WZE</t>
        </is>
      </c>
      <c r="B64" s="3" t="inlineStr">
        <is>
          <t>Sorafenib</t>
        </is>
      </c>
      <c r="C64" s="3" t="inlineStr"/>
      <c r="D64" s="3" t="inlineStr">
        <is>
          <t>BAX+1</t>
        </is>
      </c>
      <c r="E64" s="10" t="n">
        <v>1</v>
      </c>
      <c r="F64" s="10" t="n">
        <v>0.004</v>
      </c>
      <c r="G64" s="10" t="n">
        <v>0.004</v>
      </c>
      <c r="H64" s="10" t="n">
        <v>0.004</v>
      </c>
      <c r="I64" s="10" t="n">
        <v>0</v>
      </c>
      <c r="J64" s="10" t="n">
        <v>0</v>
      </c>
      <c r="K64" s="10" t="n">
        <v>0</v>
      </c>
      <c r="L64" s="3" t="n">
        <v>1</v>
      </c>
      <c r="M64" s="3" t="n">
        <v>1</v>
      </c>
      <c r="N64" s="3" t="n">
        <v>1</v>
      </c>
    </row>
    <row r="65">
      <c r="A65" s="3" t="inlineStr">
        <is>
          <t>3WZE</t>
        </is>
      </c>
      <c r="B65" s="3" t="inlineStr">
        <is>
          <t>Sorafenib</t>
        </is>
      </c>
      <c r="C65" s="3" t="inlineStr"/>
      <c r="D65" s="3" t="inlineStr">
        <is>
          <t>BAX-1</t>
        </is>
      </c>
      <c r="E65" s="10" t="n">
        <v>-1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10" t="n">
        <v>0</v>
      </c>
      <c r="L65" s="3" t="n">
        <v>1</v>
      </c>
      <c r="M65" s="3" t="n">
        <v>1</v>
      </c>
      <c r="N65" s="3" t="n">
        <v>1</v>
      </c>
    </row>
    <row r="66">
      <c r="A66" s="3" t="inlineStr">
        <is>
          <t>3WZE</t>
        </is>
      </c>
      <c r="B66" s="3" t="inlineStr">
        <is>
          <t>Sorafenib</t>
        </is>
      </c>
      <c r="C66" s="3" t="inlineStr"/>
      <c r="D66" s="3" t="inlineStr">
        <is>
          <t>BAX01</t>
        </is>
      </c>
      <c r="E66" s="10" t="n">
        <v>0</v>
      </c>
      <c r="F66" s="10" t="n">
        <v>0.994</v>
      </c>
      <c r="G66" s="10" t="n">
        <v>0.994</v>
      </c>
      <c r="H66" s="10" t="n">
        <v>0.994</v>
      </c>
      <c r="I66" s="10" t="n">
        <v>1</v>
      </c>
      <c r="J66" s="10" t="n">
        <v>1</v>
      </c>
      <c r="K66" s="10" t="n">
        <v>1</v>
      </c>
      <c r="L66" s="3" t="n">
        <v>1</v>
      </c>
      <c r="M66" s="3" t="n">
        <v>1</v>
      </c>
      <c r="N66" s="3" t="n">
        <v>1</v>
      </c>
    </row>
    <row r="67">
      <c r="A67" s="3" t="inlineStr">
        <is>
          <t>3WZE</t>
        </is>
      </c>
      <c r="B67" s="3" t="inlineStr">
        <is>
          <t>Sorafenib</t>
        </is>
      </c>
      <c r="C67" s="3" t="inlineStr"/>
      <c r="D67" s="3" t="inlineStr">
        <is>
          <t>BAX02</t>
        </is>
      </c>
      <c r="E67" s="10" t="n">
        <v>0</v>
      </c>
      <c r="F67" s="10" t="n">
        <v>0.002</v>
      </c>
      <c r="G67" s="10" t="n">
        <v>0.002</v>
      </c>
      <c r="H67" s="10" t="n">
        <v>0.002</v>
      </c>
      <c r="I67" s="10" t="n">
        <v>0</v>
      </c>
      <c r="J67" s="10" t="n">
        <v>0</v>
      </c>
      <c r="K67" s="10" t="n">
        <v>0</v>
      </c>
      <c r="L67" s="3" t="n">
        <v>1</v>
      </c>
      <c r="M67" s="3" t="n">
        <v>1</v>
      </c>
      <c r="N67" s="3" t="n">
        <v>1</v>
      </c>
    </row>
    <row r="68">
      <c r="A68" s="3" t="inlineStr">
        <is>
          <t>3ZOS</t>
        </is>
      </c>
      <c r="B68" s="3" t="inlineStr">
        <is>
          <t>Ponatinib</t>
        </is>
      </c>
      <c r="C68" s="3" t="inlineStr">
        <is>
          <t>buried</t>
        </is>
      </c>
      <c r="D68" s="3" t="inlineStr">
        <is>
          <t>0LI+1</t>
        </is>
      </c>
      <c r="E68" s="10" t="n">
        <v>1</v>
      </c>
      <c r="F68" s="10" t="n">
        <v>0.598</v>
      </c>
      <c r="G68" s="10" t="n">
        <v>0.598</v>
      </c>
      <c r="H68" s="10" t="n">
        <v>0.598</v>
      </c>
      <c r="I68" s="10" t="n">
        <v>0</v>
      </c>
      <c r="J68" s="10" t="n">
        <v>0</v>
      </c>
      <c r="K68" s="10" t="n">
        <v>0</v>
      </c>
      <c r="L68" s="3" t="n">
        <v>1</v>
      </c>
      <c r="M68" s="3" t="n">
        <v>1</v>
      </c>
      <c r="N68" s="3" t="n">
        <v>1</v>
      </c>
    </row>
    <row r="69">
      <c r="A69" s="3" t="inlineStr">
        <is>
          <t>3ZOS</t>
        </is>
      </c>
      <c r="B69" s="3" t="inlineStr">
        <is>
          <t>Ponatinib</t>
        </is>
      </c>
      <c r="C69" s="3" t="inlineStr">
        <is>
          <t>buried</t>
        </is>
      </c>
      <c r="D69" s="3" t="inlineStr">
        <is>
          <t>0LI+2</t>
        </is>
      </c>
      <c r="E69" s="10" t="n">
        <v>1</v>
      </c>
      <c r="F69" s="10" t="n">
        <v>0.365</v>
      </c>
      <c r="G69" s="10" t="n">
        <v>0.365</v>
      </c>
      <c r="H69" s="10" t="n">
        <v>0.365</v>
      </c>
      <c r="I69" s="10" t="n">
        <v>1</v>
      </c>
      <c r="J69" s="10" t="n">
        <v>1</v>
      </c>
      <c r="K69" s="10" t="n">
        <v>1</v>
      </c>
      <c r="L69" s="3" t="n">
        <v>1</v>
      </c>
      <c r="M69" s="3" t="n">
        <v>1</v>
      </c>
      <c r="N69" s="3" t="n">
        <v>1</v>
      </c>
    </row>
    <row r="70">
      <c r="A70" s="3" t="inlineStr">
        <is>
          <t>3ZOS</t>
        </is>
      </c>
      <c r="B70" s="3" t="inlineStr">
        <is>
          <t>Ponatinib</t>
        </is>
      </c>
      <c r="C70" s="3" t="inlineStr">
        <is>
          <t>buried</t>
        </is>
      </c>
      <c r="D70" s="3" t="inlineStr">
        <is>
          <t>0LI01</t>
        </is>
      </c>
      <c r="E70" s="10" t="n">
        <v>-0</v>
      </c>
      <c r="F70" s="10" t="n">
        <v>0.037</v>
      </c>
      <c r="G70" s="10" t="n">
        <v>0.037</v>
      </c>
      <c r="H70" s="10" t="n">
        <v>0.037</v>
      </c>
      <c r="I70" s="10" t="n">
        <v>0</v>
      </c>
      <c r="J70" s="10" t="n">
        <v>0</v>
      </c>
      <c r="K70" s="10" t="n">
        <v>0</v>
      </c>
      <c r="L70" s="3" t="n">
        <v>1</v>
      </c>
      <c r="M70" s="3" t="n">
        <v>1</v>
      </c>
      <c r="N70" s="3" t="n">
        <v>2</v>
      </c>
    </row>
    <row r="71">
      <c r="A71" s="3" t="inlineStr">
        <is>
          <t>3ZOS</t>
        </is>
      </c>
      <c r="B71" s="3" t="inlineStr">
        <is>
          <t>Ponatinib</t>
        </is>
      </c>
      <c r="C71" s="3" t="inlineStr">
        <is>
          <t>surface</t>
        </is>
      </c>
      <c r="D71" s="3" t="inlineStr">
        <is>
          <t>0LI+1</t>
        </is>
      </c>
      <c r="E71" s="10" t="n">
        <v>1</v>
      </c>
      <c r="F71" s="10" t="n">
        <v>0.588</v>
      </c>
      <c r="G71" s="10" t="n">
        <v>0.589</v>
      </c>
      <c r="H71" s="10" t="n">
        <v>0.589</v>
      </c>
      <c r="I71" s="10" t="n">
        <v>0.159</v>
      </c>
      <c r="J71" s="10" t="n">
        <v>0.19</v>
      </c>
      <c r="K71" s="10" t="n">
        <v>0.195</v>
      </c>
      <c r="L71" s="3" t="n">
        <v>1</v>
      </c>
      <c r="M71" s="3" t="n">
        <v>1</v>
      </c>
      <c r="N71" s="3" t="n">
        <v>1</v>
      </c>
    </row>
    <row r="72">
      <c r="A72" s="3" t="inlineStr">
        <is>
          <t>3ZOS</t>
        </is>
      </c>
      <c r="B72" s="3" t="inlineStr">
        <is>
          <t>Ponatinib</t>
        </is>
      </c>
      <c r="C72" s="3" t="inlineStr">
        <is>
          <t>surface</t>
        </is>
      </c>
      <c r="D72" s="3" t="inlineStr">
        <is>
          <t>0LI+2</t>
        </is>
      </c>
      <c r="E72" s="10" t="n">
        <v>1</v>
      </c>
      <c r="F72" s="10" t="n">
        <v>0.376</v>
      </c>
      <c r="G72" s="10" t="n">
        <v>0.375</v>
      </c>
      <c r="H72" s="10" t="n">
        <v>0.375</v>
      </c>
      <c r="I72" s="10" t="n">
        <v>0.738</v>
      </c>
      <c r="J72" s="10" t="n">
        <v>0.715</v>
      </c>
      <c r="K72" s="10" t="n">
        <v>0.6919999999999999</v>
      </c>
      <c r="L72" s="3" t="n">
        <v>1</v>
      </c>
      <c r="M72" s="3" t="n">
        <v>1</v>
      </c>
      <c r="N72" s="3" t="n">
        <v>1</v>
      </c>
    </row>
    <row r="73">
      <c r="A73" s="3" t="inlineStr">
        <is>
          <t>3ZOS</t>
        </is>
      </c>
      <c r="B73" s="3" t="inlineStr">
        <is>
          <t>Ponatinib</t>
        </is>
      </c>
      <c r="C73" s="3" t="inlineStr">
        <is>
          <t>surface</t>
        </is>
      </c>
      <c r="D73" s="3" t="inlineStr">
        <is>
          <t>0LI01</t>
        </is>
      </c>
      <c r="E73" s="10" t="n">
        <v>-0</v>
      </c>
      <c r="F73" s="10" t="n">
        <v>0.036</v>
      </c>
      <c r="G73" s="10" t="n">
        <v>0.036</v>
      </c>
      <c r="H73" s="10" t="n">
        <v>0.036</v>
      </c>
      <c r="I73" s="10" t="n">
        <v>0.103</v>
      </c>
      <c r="J73" s="10" t="n">
        <v>0.095</v>
      </c>
      <c r="K73" s="10" t="n">
        <v>0.113</v>
      </c>
      <c r="L73" s="3" t="n">
        <v>1</v>
      </c>
      <c r="M73" s="3" t="n">
        <v>1</v>
      </c>
      <c r="N73" s="3" t="n">
        <v>1</v>
      </c>
    </row>
    <row r="74">
      <c r="A74" s="3" t="inlineStr">
        <is>
          <t>4AG8</t>
        </is>
      </c>
      <c r="B74" s="3" t="inlineStr">
        <is>
          <t>Axitinib</t>
        </is>
      </c>
      <c r="C74" s="3" t="inlineStr"/>
      <c r="D74" s="3" t="inlineStr">
        <is>
          <t>AXI+1</t>
        </is>
      </c>
      <c r="E74" s="10" t="n">
        <v>1</v>
      </c>
      <c r="F74" s="10" t="n">
        <v>0.003</v>
      </c>
      <c r="G74" s="10" t="n">
        <v>0.003</v>
      </c>
      <c r="H74" s="10" t="n">
        <v>0.003</v>
      </c>
      <c r="I74" s="10" t="n">
        <v>0</v>
      </c>
      <c r="J74" s="10" t="n">
        <v>0</v>
      </c>
      <c r="K74" s="10" t="n">
        <v>0</v>
      </c>
      <c r="L74" s="3" t="n">
        <v>1</v>
      </c>
      <c r="M74" s="3" t="n">
        <v>1</v>
      </c>
      <c r="N74" s="3" t="n">
        <v>1</v>
      </c>
    </row>
    <row r="75">
      <c r="A75" s="3" t="inlineStr">
        <is>
          <t>4AG8</t>
        </is>
      </c>
      <c r="B75" s="3" t="inlineStr">
        <is>
          <t>Axitinib</t>
        </is>
      </c>
      <c r="C75" s="3" t="inlineStr"/>
      <c r="D75" s="3" t="inlineStr">
        <is>
          <t>AXI01</t>
        </is>
      </c>
      <c r="E75" s="10" t="n">
        <v>0</v>
      </c>
      <c r="F75" s="10" t="n">
        <v>0.8100000000000001</v>
      </c>
      <c r="G75" s="10" t="n">
        <v>0.8100000000000001</v>
      </c>
      <c r="H75" s="10" t="n">
        <v>0.8100000000000001</v>
      </c>
      <c r="I75" s="10" t="n">
        <v>0.961</v>
      </c>
      <c r="J75" s="10" t="n">
        <v>0.961</v>
      </c>
      <c r="K75" s="10" t="n">
        <v>0.96</v>
      </c>
      <c r="L75" s="3" t="n">
        <v>2</v>
      </c>
      <c r="M75" s="3" t="n">
        <v>1</v>
      </c>
      <c r="N75" s="3" t="n">
        <v>1</v>
      </c>
    </row>
    <row r="76">
      <c r="A76" s="3" t="inlineStr">
        <is>
          <t>4AG8</t>
        </is>
      </c>
      <c r="B76" s="3" t="inlineStr">
        <is>
          <t>Axitinib</t>
        </is>
      </c>
      <c r="C76" s="3" t="inlineStr"/>
      <c r="D76" s="3" t="inlineStr">
        <is>
          <t>AXI02</t>
        </is>
      </c>
      <c r="E76" s="10" t="n">
        <v>-0</v>
      </c>
      <c r="F76" s="10" t="n">
        <v>0.187</v>
      </c>
      <c r="G76" s="10" t="n">
        <v>0.187</v>
      </c>
      <c r="H76" s="10" t="n">
        <v>0.187</v>
      </c>
      <c r="I76" s="10" t="n">
        <v>0.039</v>
      </c>
      <c r="J76" s="10" t="n">
        <v>0.039</v>
      </c>
      <c r="K76" s="10" t="n">
        <v>0.04</v>
      </c>
      <c r="L76" s="3" t="n">
        <v>1</v>
      </c>
      <c r="M76" s="3" t="n">
        <v>1</v>
      </c>
      <c r="N76" s="3" t="n">
        <v>1</v>
      </c>
    </row>
    <row r="77">
      <c r="A77" s="3" t="inlineStr">
        <is>
          <t>4AGC</t>
        </is>
      </c>
      <c r="B77" s="3" t="inlineStr">
        <is>
          <t>Axitinib</t>
        </is>
      </c>
      <c r="C77" s="3" t="inlineStr"/>
      <c r="D77" s="3" t="inlineStr">
        <is>
          <t>AXI+1</t>
        </is>
      </c>
      <c r="E77" s="10" t="n">
        <v>1</v>
      </c>
      <c r="F77" s="10" t="n">
        <v>0.003</v>
      </c>
      <c r="G77" s="10" t="n">
        <v>0.003</v>
      </c>
      <c r="H77" s="10" t="n">
        <v>0.003</v>
      </c>
      <c r="I77" s="10" t="n">
        <v>0</v>
      </c>
      <c r="J77" s="10" t="n">
        <v>0</v>
      </c>
      <c r="K77" s="10" t="n">
        <v>0</v>
      </c>
      <c r="L77" s="3" t="n">
        <v>1</v>
      </c>
      <c r="M77" s="3" t="n">
        <v>1</v>
      </c>
      <c r="N77" s="3" t="n">
        <v>1</v>
      </c>
    </row>
    <row r="78">
      <c r="A78" s="3" t="inlineStr">
        <is>
          <t>4AGC</t>
        </is>
      </c>
      <c r="B78" s="3" t="inlineStr">
        <is>
          <t>Axitinib</t>
        </is>
      </c>
      <c r="C78" s="3" t="inlineStr"/>
      <c r="D78" s="3" t="inlineStr">
        <is>
          <t>AXI01</t>
        </is>
      </c>
      <c r="E78" s="10" t="n">
        <v>0</v>
      </c>
      <c r="F78" s="10" t="n">
        <v>0.8100000000000001</v>
      </c>
      <c r="G78" s="10" t="n">
        <v>0.8100000000000001</v>
      </c>
      <c r="H78" s="10" t="n">
        <v>0.8100000000000001</v>
      </c>
      <c r="I78" s="10" t="n">
        <v>0.989</v>
      </c>
      <c r="J78" s="10" t="n">
        <v>0.986</v>
      </c>
      <c r="K78" s="10" t="n">
        <v>0.989</v>
      </c>
      <c r="L78" s="3" t="n">
        <v>1</v>
      </c>
      <c r="M78" s="3" t="n">
        <v>1</v>
      </c>
      <c r="N78" s="3" t="n">
        <v>1</v>
      </c>
    </row>
    <row r="79">
      <c r="A79" s="3" t="inlineStr">
        <is>
          <t>4AGC</t>
        </is>
      </c>
      <c r="B79" s="3" t="inlineStr">
        <is>
          <t>Axitinib</t>
        </is>
      </c>
      <c r="C79" s="3" t="inlineStr"/>
      <c r="D79" s="3" t="inlineStr">
        <is>
          <t>AXI02</t>
        </is>
      </c>
      <c r="E79" s="10" t="n">
        <v>-0</v>
      </c>
      <c r="F79" s="10" t="n">
        <v>0.187</v>
      </c>
      <c r="G79" s="10" t="n">
        <v>0.187</v>
      </c>
      <c r="H79" s="10" t="n">
        <v>0.187</v>
      </c>
      <c r="I79" s="10" t="n">
        <v>0.011</v>
      </c>
      <c r="J79" s="10" t="n">
        <v>0.014</v>
      </c>
      <c r="K79" s="10" t="n">
        <v>0.011</v>
      </c>
      <c r="L79" s="3" t="n">
        <v>1</v>
      </c>
      <c r="M79" s="3" t="n">
        <v>1</v>
      </c>
      <c r="N79" s="3" t="n">
        <v>1</v>
      </c>
    </row>
    <row r="80">
      <c r="A80" s="3" t="inlineStr">
        <is>
          <t>4AGD</t>
        </is>
      </c>
      <c r="B80" s="3" t="inlineStr">
        <is>
          <t>Sunitinib</t>
        </is>
      </c>
      <c r="C80" s="3" t="inlineStr"/>
      <c r="D80" s="3" t="inlineStr">
        <is>
          <t>B49+1</t>
        </is>
      </c>
      <c r="E80" s="10" t="n">
        <v>1</v>
      </c>
      <c r="F80" s="10" t="n">
        <v>0.987</v>
      </c>
      <c r="G80" s="10" t="n">
        <v>0.987</v>
      </c>
      <c r="H80" s="10" t="n">
        <v>0.987</v>
      </c>
      <c r="I80" s="10" t="n">
        <v>0.887</v>
      </c>
      <c r="J80" s="10" t="n">
        <v>0.921</v>
      </c>
      <c r="K80" s="10" t="n">
        <v>0.889</v>
      </c>
      <c r="L80" s="3" t="n">
        <v>1</v>
      </c>
      <c r="M80" s="3" t="n">
        <v>2</v>
      </c>
      <c r="N80" s="3" t="n">
        <v>2</v>
      </c>
    </row>
    <row r="81">
      <c r="A81" s="3" t="inlineStr">
        <is>
          <t>4AGD</t>
        </is>
      </c>
      <c r="B81" s="3" t="inlineStr">
        <is>
          <t>Sunitinib</t>
        </is>
      </c>
      <c r="C81" s="3" t="inlineStr"/>
      <c r="D81" s="3" t="inlineStr">
        <is>
          <t>B4901</t>
        </is>
      </c>
      <c r="E81" s="10" t="n">
        <v>0</v>
      </c>
      <c r="F81" s="10" t="n">
        <v>0.013</v>
      </c>
      <c r="G81" s="10" t="n">
        <v>0.013</v>
      </c>
      <c r="H81" s="10" t="n">
        <v>0.013</v>
      </c>
      <c r="I81" s="10" t="n">
        <v>0.113</v>
      </c>
      <c r="J81" s="10" t="n">
        <v>0.079</v>
      </c>
      <c r="K81" s="10" t="n">
        <v>0.111</v>
      </c>
      <c r="L81" s="3" t="n">
        <v>1</v>
      </c>
      <c r="M81" s="3" t="n">
        <v>1</v>
      </c>
      <c r="N81" s="3" t="n">
        <v>1</v>
      </c>
    </row>
    <row r="82">
      <c r="A82" s="3" t="inlineStr">
        <is>
          <t>4AGD</t>
        </is>
      </c>
      <c r="B82" s="3" t="inlineStr">
        <is>
          <t>Sunitinib</t>
        </is>
      </c>
      <c r="C82" s="3" t="inlineStr"/>
      <c r="D82" s="3" t="inlineStr">
        <is>
          <t>B4902</t>
        </is>
      </c>
      <c r="E82" s="10" t="n">
        <v>-0</v>
      </c>
      <c r="F82" s="10" t="n">
        <v>0</v>
      </c>
      <c r="G82" s="10" t="n">
        <v>0</v>
      </c>
      <c r="H82" s="10" t="n">
        <v>0</v>
      </c>
      <c r="I82" s="10" t="n">
        <v>0</v>
      </c>
      <c r="J82" s="10" t="n">
        <v>0</v>
      </c>
      <c r="K82" s="10" t="n">
        <v>0</v>
      </c>
      <c r="L82" s="3" t="n">
        <v>1</v>
      </c>
      <c r="M82" s="3" t="n">
        <v>1</v>
      </c>
      <c r="N82" s="3" t="n">
        <v>1</v>
      </c>
    </row>
    <row r="83">
      <c r="A83" s="3" t="inlineStr">
        <is>
          <t>4AGD</t>
        </is>
      </c>
      <c r="B83" s="3" t="inlineStr">
        <is>
          <t>Sunitinib</t>
        </is>
      </c>
      <c r="C83" s="3" t="inlineStr"/>
      <c r="D83" s="3" t="inlineStr">
        <is>
          <t>B4903</t>
        </is>
      </c>
      <c r="E83" s="10" t="n">
        <v>-0</v>
      </c>
      <c r="F83" s="10" t="n">
        <v>0</v>
      </c>
      <c r="G83" s="10" t="n">
        <v>0</v>
      </c>
      <c r="H83" s="10" t="n">
        <v>0</v>
      </c>
      <c r="I83" s="10" t="n">
        <v>0</v>
      </c>
      <c r="J83" s="10" t="n">
        <v>0</v>
      </c>
      <c r="K83" s="10" t="n">
        <v>0</v>
      </c>
      <c r="L83" s="3" t="n">
        <v>1</v>
      </c>
      <c r="M83" s="3" t="n">
        <v>1</v>
      </c>
      <c r="N83" s="3" t="n">
        <v>1</v>
      </c>
    </row>
    <row r="84">
      <c r="A84" s="3" t="inlineStr">
        <is>
          <t>4AN2</t>
        </is>
      </c>
      <c r="B84" s="3" t="inlineStr">
        <is>
          <t>Cobimetinib</t>
        </is>
      </c>
      <c r="C84" s="3" t="inlineStr"/>
      <c r="D84" s="3" t="inlineStr">
        <is>
          <t>EUI+1</t>
        </is>
      </c>
      <c r="E84" s="10" t="n">
        <v>1</v>
      </c>
      <c r="F84" s="10" t="n">
        <v>0.986</v>
      </c>
      <c r="G84" s="10" t="n">
        <v>0.986</v>
      </c>
      <c r="H84" s="10" t="n">
        <v>0.986</v>
      </c>
      <c r="I84" s="10" t="n">
        <v>0.232</v>
      </c>
      <c r="J84" s="10" t="n">
        <v>0.217</v>
      </c>
      <c r="K84" s="10" t="n">
        <v>0.216</v>
      </c>
      <c r="L84" s="3" t="n">
        <v>2</v>
      </c>
      <c r="M84" s="3" t="n">
        <v>2</v>
      </c>
      <c r="N84" s="3" t="n">
        <v>2</v>
      </c>
    </row>
    <row r="85">
      <c r="A85" s="3" t="inlineStr">
        <is>
          <t>4AN2</t>
        </is>
      </c>
      <c r="B85" s="3" t="inlineStr">
        <is>
          <t>Cobimetinib</t>
        </is>
      </c>
      <c r="C85" s="3" t="inlineStr"/>
      <c r="D85" s="3" t="inlineStr">
        <is>
          <t>EUI01</t>
        </is>
      </c>
      <c r="E85" s="10" t="n">
        <v>-0</v>
      </c>
      <c r="F85" s="10" t="n">
        <v>0.014</v>
      </c>
      <c r="G85" s="10" t="n">
        <v>0.014</v>
      </c>
      <c r="H85" s="10" t="n">
        <v>0.014</v>
      </c>
      <c r="I85" s="10" t="n">
        <v>0.766</v>
      </c>
      <c r="J85" s="10" t="n">
        <v>0.781</v>
      </c>
      <c r="K85" s="10" t="n">
        <v>0.783</v>
      </c>
      <c r="L85" s="3" t="n">
        <v>3</v>
      </c>
      <c r="M85" s="3" t="n">
        <v>2</v>
      </c>
      <c r="N85" s="3" t="n">
        <v>2</v>
      </c>
    </row>
    <row r="86">
      <c r="A86" s="3" t="inlineStr">
        <is>
          <t>4AN2</t>
        </is>
      </c>
      <c r="B86" s="3" t="inlineStr">
        <is>
          <t>Cobimetinib</t>
        </is>
      </c>
      <c r="C86" s="3" t="inlineStr"/>
      <c r="D86" s="3" t="inlineStr">
        <is>
          <t>EUI02</t>
        </is>
      </c>
      <c r="E86" s="10" t="n">
        <v>-0</v>
      </c>
      <c r="F86" s="10" t="n">
        <v>0</v>
      </c>
      <c r="G86" s="10" t="n">
        <v>0</v>
      </c>
      <c r="H86" s="10" t="n">
        <v>0</v>
      </c>
      <c r="I86" s="10" t="n">
        <v>0.002</v>
      </c>
      <c r="J86" s="10" t="n">
        <v>0.002</v>
      </c>
      <c r="K86" s="10" t="n">
        <v>0.001</v>
      </c>
      <c r="L86" s="3" t="n">
        <v>2</v>
      </c>
      <c r="M86" s="3" t="n">
        <v>2</v>
      </c>
      <c r="N86" s="3" t="n">
        <v>2</v>
      </c>
    </row>
    <row r="87">
      <c r="A87" s="3" t="inlineStr">
        <is>
          <t>4ANQ</t>
        </is>
      </c>
      <c r="B87" s="3" t="inlineStr">
        <is>
          <t>Crizotinib</t>
        </is>
      </c>
      <c r="C87" s="3" t="inlineStr"/>
      <c r="D87" s="3" t="inlineStr">
        <is>
          <t>VGH+1</t>
        </is>
      </c>
      <c r="E87" s="10" t="n">
        <v>1</v>
      </c>
      <c r="F87" s="10" t="n">
        <v>0.378</v>
      </c>
      <c r="G87" s="10" t="n">
        <v>0.378</v>
      </c>
      <c r="H87" s="10" t="n">
        <v>0.378</v>
      </c>
      <c r="I87" s="10" t="n">
        <v>1</v>
      </c>
      <c r="J87" s="10" t="n">
        <v>1</v>
      </c>
      <c r="K87" s="10" t="n">
        <v>1</v>
      </c>
      <c r="L87" s="3" t="n">
        <v>1</v>
      </c>
      <c r="M87" s="3" t="n">
        <v>1</v>
      </c>
      <c r="N87" s="3" t="n">
        <v>1</v>
      </c>
    </row>
    <row r="88">
      <c r="A88" s="3" t="inlineStr">
        <is>
          <t>4ANQ</t>
        </is>
      </c>
      <c r="B88" s="3" t="inlineStr">
        <is>
          <t>Crizotinib</t>
        </is>
      </c>
      <c r="C88" s="3" t="inlineStr"/>
      <c r="D88" s="3" t="inlineStr">
        <is>
          <t>VGH+2</t>
        </is>
      </c>
      <c r="E88" s="10" t="n">
        <v>1</v>
      </c>
      <c r="F88" s="10" t="n">
        <v>0.002</v>
      </c>
      <c r="G88" s="10" t="n">
        <v>0.002</v>
      </c>
      <c r="H88" s="10" t="n">
        <v>0.002</v>
      </c>
      <c r="I88" s="10" t="n">
        <v>0</v>
      </c>
      <c r="J88" s="10" t="n">
        <v>0</v>
      </c>
      <c r="K88" s="10" t="n">
        <v>0</v>
      </c>
      <c r="L88" s="3" t="n">
        <v>1</v>
      </c>
      <c r="M88" s="3" t="n">
        <v>1</v>
      </c>
      <c r="N88" s="3" t="n">
        <v>1</v>
      </c>
    </row>
    <row r="89">
      <c r="A89" s="3" t="inlineStr">
        <is>
          <t>4ANQ</t>
        </is>
      </c>
      <c r="B89" s="3" t="inlineStr">
        <is>
          <t>Crizotinib</t>
        </is>
      </c>
      <c r="C89" s="3" t="inlineStr"/>
      <c r="D89" s="3" t="inlineStr">
        <is>
          <t>VGH+a</t>
        </is>
      </c>
      <c r="E89" s="10" t="n">
        <v>2</v>
      </c>
      <c r="F89" s="10" t="n">
        <v>0.615</v>
      </c>
      <c r="G89" s="10" t="n">
        <v>0.615</v>
      </c>
      <c r="H89" s="10" t="n">
        <v>0.615</v>
      </c>
      <c r="I89" s="10" t="n">
        <v>0</v>
      </c>
      <c r="J89" s="10" t="n">
        <v>0</v>
      </c>
      <c r="K89" s="10" t="n">
        <v>0</v>
      </c>
      <c r="L89" s="3" t="n">
        <v>1</v>
      </c>
      <c r="M89" s="3" t="n">
        <v>1</v>
      </c>
      <c r="N89" s="3" t="n">
        <v>1</v>
      </c>
    </row>
    <row r="90">
      <c r="A90" s="3" t="inlineStr">
        <is>
          <t>4ANQ</t>
        </is>
      </c>
      <c r="B90" s="3" t="inlineStr">
        <is>
          <t>Crizotinib</t>
        </is>
      </c>
      <c r="C90" s="3" t="inlineStr"/>
      <c r="D90" s="3" t="inlineStr">
        <is>
          <t>VGH01</t>
        </is>
      </c>
      <c r="E90" s="10" t="n">
        <v>0</v>
      </c>
      <c r="F90" s="10" t="n">
        <v>0.005</v>
      </c>
      <c r="G90" s="10" t="n">
        <v>0.005</v>
      </c>
      <c r="H90" s="10" t="n">
        <v>0.005</v>
      </c>
      <c r="I90" s="10" t="n">
        <v>0</v>
      </c>
      <c r="J90" s="10" t="n">
        <v>0</v>
      </c>
      <c r="K90" s="10" t="n">
        <v>0</v>
      </c>
      <c r="L90" s="3" t="n">
        <v>1</v>
      </c>
      <c r="M90" s="3" t="n">
        <v>1</v>
      </c>
      <c r="N90" s="3" t="n">
        <v>1</v>
      </c>
    </row>
    <row r="91">
      <c r="A91" s="3" t="inlineStr">
        <is>
          <t>4ANS</t>
        </is>
      </c>
      <c r="B91" s="3" t="inlineStr">
        <is>
          <t>Crizotinib</t>
        </is>
      </c>
      <c r="C91" s="3" t="inlineStr"/>
      <c r="D91" s="3" t="inlineStr">
        <is>
          <t>VGH+1</t>
        </is>
      </c>
      <c r="E91" s="10" t="n">
        <v>1</v>
      </c>
      <c r="F91" s="10" t="n">
        <v>0.378</v>
      </c>
      <c r="G91" s="10" t="n">
        <v>0.378</v>
      </c>
      <c r="H91" s="10" t="n">
        <v>0.378</v>
      </c>
      <c r="I91" s="10" t="n">
        <v>1</v>
      </c>
      <c r="J91" s="10" t="n">
        <v>1</v>
      </c>
      <c r="K91" s="10" t="n">
        <v>1</v>
      </c>
      <c r="L91" s="3" t="n">
        <v>1</v>
      </c>
      <c r="M91" s="3" t="n">
        <v>1</v>
      </c>
      <c r="N91" s="3" t="n">
        <v>1</v>
      </c>
    </row>
    <row r="92">
      <c r="A92" s="3" t="inlineStr">
        <is>
          <t>4ANS</t>
        </is>
      </c>
      <c r="B92" s="3" t="inlineStr">
        <is>
          <t>Crizotinib</t>
        </is>
      </c>
      <c r="C92" s="3" t="inlineStr"/>
      <c r="D92" s="3" t="inlineStr">
        <is>
          <t>VGH+2</t>
        </is>
      </c>
      <c r="E92" s="10" t="n">
        <v>1</v>
      </c>
      <c r="F92" s="10" t="n">
        <v>0.002</v>
      </c>
      <c r="G92" s="10" t="n">
        <v>0.002</v>
      </c>
      <c r="H92" s="10" t="n">
        <v>0.002</v>
      </c>
      <c r="I92" s="10" t="n">
        <v>0</v>
      </c>
      <c r="J92" s="10" t="n">
        <v>0</v>
      </c>
      <c r="K92" s="10" t="n">
        <v>0</v>
      </c>
      <c r="L92" s="3" t="n">
        <v>1</v>
      </c>
      <c r="M92" s="3" t="n">
        <v>1</v>
      </c>
      <c r="N92" s="3" t="n">
        <v>1</v>
      </c>
    </row>
    <row r="93">
      <c r="A93" s="3" t="inlineStr">
        <is>
          <t>4ANS</t>
        </is>
      </c>
      <c r="B93" s="3" t="inlineStr">
        <is>
          <t>Crizotinib</t>
        </is>
      </c>
      <c r="C93" s="3" t="inlineStr"/>
      <c r="D93" s="3" t="inlineStr">
        <is>
          <t>VGH+a</t>
        </is>
      </c>
      <c r="E93" s="10" t="n">
        <v>2</v>
      </c>
      <c r="F93" s="10" t="n">
        <v>0.615</v>
      </c>
      <c r="G93" s="10" t="n">
        <v>0.615</v>
      </c>
      <c r="H93" s="10" t="n">
        <v>0.615</v>
      </c>
      <c r="I93" s="10" t="n">
        <v>0</v>
      </c>
      <c r="J93" s="10" t="n">
        <v>0</v>
      </c>
      <c r="K93" s="10" t="n">
        <v>0</v>
      </c>
      <c r="L93" s="3" t="n">
        <v>2</v>
      </c>
      <c r="M93" s="3" t="n">
        <v>1</v>
      </c>
      <c r="N93" s="3" t="n">
        <v>1</v>
      </c>
    </row>
    <row r="94">
      <c r="A94" s="3" t="inlineStr">
        <is>
          <t>4ANS</t>
        </is>
      </c>
      <c r="B94" s="3" t="inlineStr">
        <is>
          <t>Crizotinib</t>
        </is>
      </c>
      <c r="C94" s="3" t="inlineStr"/>
      <c r="D94" s="3" t="inlineStr">
        <is>
          <t>VGH01</t>
        </is>
      </c>
      <c r="E94" s="10" t="n">
        <v>0</v>
      </c>
      <c r="F94" s="10" t="n">
        <v>0.005</v>
      </c>
      <c r="G94" s="10" t="n">
        <v>0.005</v>
      </c>
      <c r="H94" s="10" t="n">
        <v>0.005</v>
      </c>
      <c r="I94" s="10" t="n">
        <v>0</v>
      </c>
      <c r="J94" s="10" t="n">
        <v>0</v>
      </c>
      <c r="K94" s="10" t="n">
        <v>0</v>
      </c>
      <c r="L94" s="3" t="n">
        <v>1</v>
      </c>
      <c r="M94" s="3" t="n">
        <v>1</v>
      </c>
      <c r="N94" s="3" t="n">
        <v>1</v>
      </c>
    </row>
    <row r="95">
      <c r="A95" s="3" t="inlineStr">
        <is>
          <t>4ASD</t>
        </is>
      </c>
      <c r="B95" s="3" t="inlineStr">
        <is>
          <t>Sorafenib</t>
        </is>
      </c>
      <c r="C95" s="3" t="inlineStr"/>
      <c r="D95" s="3" t="inlineStr">
        <is>
          <t>BAX+1</t>
        </is>
      </c>
      <c r="E95" s="10" t="n">
        <v>1</v>
      </c>
      <c r="F95" s="10" t="n">
        <v>0.004</v>
      </c>
      <c r="G95" s="10" t="n">
        <v>0.004</v>
      </c>
      <c r="H95" s="10" t="n">
        <v>0.004</v>
      </c>
      <c r="I95" s="10" t="n">
        <v>0</v>
      </c>
      <c r="J95" s="10" t="n">
        <v>0</v>
      </c>
      <c r="K95" s="10" t="n">
        <v>0</v>
      </c>
      <c r="L95" s="3" t="n">
        <v>1</v>
      </c>
      <c r="M95" s="3" t="n">
        <v>1</v>
      </c>
      <c r="N95" s="3" t="n">
        <v>1</v>
      </c>
    </row>
    <row r="96">
      <c r="A96" s="3" t="inlineStr">
        <is>
          <t>4ASD</t>
        </is>
      </c>
      <c r="B96" s="3" t="inlineStr">
        <is>
          <t>Sorafenib</t>
        </is>
      </c>
      <c r="C96" s="3" t="inlineStr"/>
      <c r="D96" s="3" t="inlineStr">
        <is>
          <t>BAX-1</t>
        </is>
      </c>
      <c r="E96" s="10" t="n">
        <v>-1</v>
      </c>
      <c r="F96" s="10" t="n">
        <v>0</v>
      </c>
      <c r="G96" s="10" t="n">
        <v>0</v>
      </c>
      <c r="H96" s="10" t="n">
        <v>0</v>
      </c>
      <c r="I96" s="10" t="n">
        <v>0</v>
      </c>
      <c r="J96" s="10" t="n">
        <v>0</v>
      </c>
      <c r="K96" s="10" t="n">
        <v>0</v>
      </c>
      <c r="L96" s="3" t="n">
        <v>1</v>
      </c>
      <c r="M96" s="3" t="n">
        <v>1</v>
      </c>
      <c r="N96" s="3" t="n">
        <v>1</v>
      </c>
    </row>
    <row r="97">
      <c r="A97" s="3" t="inlineStr">
        <is>
          <t>4ASD</t>
        </is>
      </c>
      <c r="B97" s="3" t="inlineStr">
        <is>
          <t>Sorafenib</t>
        </is>
      </c>
      <c r="C97" s="3" t="inlineStr"/>
      <c r="D97" s="3" t="inlineStr">
        <is>
          <t>BAX01</t>
        </is>
      </c>
      <c r="E97" s="10" t="n">
        <v>0</v>
      </c>
      <c r="F97" s="10" t="n">
        <v>0.994</v>
      </c>
      <c r="G97" s="10" t="n">
        <v>0.994</v>
      </c>
      <c r="H97" s="10" t="n">
        <v>0.994</v>
      </c>
      <c r="I97" s="10" t="n">
        <v>1</v>
      </c>
      <c r="J97" s="10" t="n">
        <v>1</v>
      </c>
      <c r="K97" s="10" t="n">
        <v>1</v>
      </c>
      <c r="L97" s="3" t="n">
        <v>1</v>
      </c>
      <c r="M97" s="3" t="n">
        <v>1</v>
      </c>
      <c r="N97" s="3" t="n">
        <v>1</v>
      </c>
    </row>
    <row r="98">
      <c r="A98" s="3" t="inlineStr">
        <is>
          <t>4ASD</t>
        </is>
      </c>
      <c r="B98" s="3" t="inlineStr">
        <is>
          <t>Sorafenib</t>
        </is>
      </c>
      <c r="C98" s="3" t="inlineStr"/>
      <c r="D98" s="3" t="inlineStr">
        <is>
          <t>BAX02</t>
        </is>
      </c>
      <c r="E98" s="10" t="n">
        <v>0</v>
      </c>
      <c r="F98" s="10" t="n">
        <v>0.002</v>
      </c>
      <c r="G98" s="10" t="n">
        <v>0.002</v>
      </c>
      <c r="H98" s="10" t="n">
        <v>0.002</v>
      </c>
      <c r="I98" s="10" t="n">
        <v>0</v>
      </c>
      <c r="J98" s="10" t="n">
        <v>0</v>
      </c>
      <c r="K98" s="10" t="n">
        <v>0</v>
      </c>
      <c r="L98" s="3" t="n">
        <v>1</v>
      </c>
      <c r="M98" s="3" t="n">
        <v>1</v>
      </c>
      <c r="N98" s="3" t="n">
        <v>1</v>
      </c>
    </row>
    <row r="99">
      <c r="A99" s="3" t="inlineStr">
        <is>
          <t>4G5J</t>
        </is>
      </c>
      <c r="B99" s="3" t="inlineStr">
        <is>
          <t>Afatinib</t>
        </is>
      </c>
      <c r="C99" s="3" t="inlineStr"/>
      <c r="D99" s="3" t="inlineStr">
        <is>
          <t>0WN+1</t>
        </is>
      </c>
      <c r="E99" s="10" t="n">
        <v>1</v>
      </c>
      <c r="F99" s="10" t="n">
        <v>0.992</v>
      </c>
      <c r="G99" s="10" t="n">
        <v>0.992</v>
      </c>
      <c r="H99" s="10" t="n">
        <v>0.992</v>
      </c>
      <c r="I99" s="10" t="n">
        <v>0.946</v>
      </c>
      <c r="J99" s="10" t="n">
        <v>0.944</v>
      </c>
      <c r="K99" s="10" t="n">
        <v>0.945</v>
      </c>
      <c r="L99" s="3" t="n">
        <v>1</v>
      </c>
      <c r="M99" s="3" t="n">
        <v>1</v>
      </c>
      <c r="N99" s="3" t="n">
        <v>1</v>
      </c>
    </row>
    <row r="100">
      <c r="A100" s="3" t="inlineStr">
        <is>
          <t>4G5J</t>
        </is>
      </c>
      <c r="B100" s="3" t="inlineStr">
        <is>
          <t>Afatinib</t>
        </is>
      </c>
      <c r="C100" s="3" t="inlineStr"/>
      <c r="D100" s="3" t="inlineStr">
        <is>
          <t>0WN+a</t>
        </is>
      </c>
      <c r="E100" s="10" t="n">
        <v>2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10" t="n">
        <v>0</v>
      </c>
      <c r="L100" s="3" t="n">
        <v>1</v>
      </c>
      <c r="M100" s="3" t="n">
        <v>1</v>
      </c>
      <c r="N100" s="3" t="n">
        <v>1</v>
      </c>
    </row>
    <row r="101">
      <c r="A101" s="3" t="inlineStr">
        <is>
          <t>4G5J</t>
        </is>
      </c>
      <c r="B101" s="3" t="inlineStr">
        <is>
          <t>Afatinib</t>
        </is>
      </c>
      <c r="C101" s="3" t="inlineStr"/>
      <c r="D101" s="3" t="inlineStr">
        <is>
          <t>0WN01</t>
        </is>
      </c>
      <c r="E101" s="10" t="n">
        <v>0</v>
      </c>
      <c r="F101" s="10" t="n">
        <v>0.008</v>
      </c>
      <c r="G101" s="10" t="n">
        <v>0.008</v>
      </c>
      <c r="H101" s="10" t="n">
        <v>0.008</v>
      </c>
      <c r="I101" s="10" t="n">
        <v>0.054</v>
      </c>
      <c r="J101" s="10" t="n">
        <v>0.056</v>
      </c>
      <c r="K101" s="10" t="n">
        <v>0.055</v>
      </c>
      <c r="L101" s="3" t="n">
        <v>1</v>
      </c>
      <c r="M101" s="3" t="n">
        <v>1</v>
      </c>
      <c r="N101" s="3" t="n">
        <v>1</v>
      </c>
    </row>
    <row r="102">
      <c r="A102" s="3" t="inlineStr">
        <is>
          <t>4G5P</t>
        </is>
      </c>
      <c r="B102" s="3" t="inlineStr">
        <is>
          <t>Afatinib</t>
        </is>
      </c>
      <c r="C102" s="3" t="inlineStr"/>
      <c r="D102" s="3" t="inlineStr">
        <is>
          <t>0WN+1</t>
        </is>
      </c>
      <c r="E102" s="10" t="n">
        <v>1</v>
      </c>
      <c r="F102" s="10" t="n">
        <v>0.992</v>
      </c>
      <c r="G102" s="10" t="n">
        <v>0.992</v>
      </c>
      <c r="H102" s="10" t="n">
        <v>0.992</v>
      </c>
      <c r="I102" s="10" t="n">
        <v>0.961</v>
      </c>
      <c r="J102" s="10" t="n">
        <v>0.961</v>
      </c>
      <c r="K102" s="10" t="n">
        <v>0.962</v>
      </c>
      <c r="L102" s="3" t="n">
        <v>1</v>
      </c>
      <c r="M102" s="3" t="n">
        <v>1</v>
      </c>
      <c r="N102" s="3" t="n">
        <v>1</v>
      </c>
    </row>
    <row r="103">
      <c r="A103" s="3" t="inlineStr">
        <is>
          <t>4G5P</t>
        </is>
      </c>
      <c r="B103" s="3" t="inlineStr">
        <is>
          <t>Afatinib</t>
        </is>
      </c>
      <c r="C103" s="3" t="inlineStr"/>
      <c r="D103" s="3" t="inlineStr">
        <is>
          <t>0WN+a</t>
        </is>
      </c>
      <c r="E103" s="10" t="n">
        <v>2</v>
      </c>
      <c r="F103" s="10" t="n">
        <v>0</v>
      </c>
      <c r="G103" s="10" t="n">
        <v>0</v>
      </c>
      <c r="H103" s="10" t="n">
        <v>0</v>
      </c>
      <c r="I103" s="10" t="n">
        <v>0</v>
      </c>
      <c r="J103" s="10" t="n">
        <v>0</v>
      </c>
      <c r="K103" s="10" t="n">
        <v>0</v>
      </c>
      <c r="L103" s="3" t="n">
        <v>1</v>
      </c>
      <c r="M103" s="3" t="n">
        <v>1</v>
      </c>
      <c r="N103" s="3" t="n">
        <v>1</v>
      </c>
    </row>
    <row r="104">
      <c r="A104" s="3" t="inlineStr">
        <is>
          <t>4G5P</t>
        </is>
      </c>
      <c r="B104" s="3" t="inlineStr">
        <is>
          <t>Afatinib</t>
        </is>
      </c>
      <c r="C104" s="3" t="inlineStr"/>
      <c r="D104" s="3" t="inlineStr">
        <is>
          <t>0WN01</t>
        </is>
      </c>
      <c r="E104" s="10" t="n">
        <v>0</v>
      </c>
      <c r="F104" s="10" t="n">
        <v>0.008</v>
      </c>
      <c r="G104" s="10" t="n">
        <v>0.008</v>
      </c>
      <c r="H104" s="10" t="n">
        <v>0.008</v>
      </c>
      <c r="I104" s="10" t="n">
        <v>0.039</v>
      </c>
      <c r="J104" s="10" t="n">
        <v>0.039</v>
      </c>
      <c r="K104" s="10" t="n">
        <v>0.038</v>
      </c>
      <c r="L104" s="3" t="n">
        <v>1</v>
      </c>
      <c r="M104" s="3" t="n">
        <v>1</v>
      </c>
      <c r="N104" s="3" t="n">
        <v>1</v>
      </c>
    </row>
    <row r="105">
      <c r="A105" s="3" t="inlineStr">
        <is>
          <t>4I22</t>
        </is>
      </c>
      <c r="B105" s="3" t="inlineStr">
        <is>
          <t>Gefitinib</t>
        </is>
      </c>
      <c r="C105" s="3" t="inlineStr"/>
      <c r="D105" s="3" t="inlineStr">
        <is>
          <t>IRE+1</t>
        </is>
      </c>
      <c r="E105" s="10" t="n">
        <v>1</v>
      </c>
      <c r="F105" s="10" t="n">
        <v>0.298</v>
      </c>
      <c r="G105" s="10" t="n">
        <v>0.298</v>
      </c>
      <c r="H105" s="10" t="n">
        <v>0.298</v>
      </c>
      <c r="I105" s="10" t="n">
        <v>0.478</v>
      </c>
      <c r="J105" s="10" t="n">
        <v>0.492</v>
      </c>
      <c r="K105" s="10" t="n">
        <v>0.522</v>
      </c>
      <c r="L105" s="3" t="n">
        <v>1</v>
      </c>
      <c r="M105" s="3" t="n">
        <v>1</v>
      </c>
      <c r="N105" s="3" t="n">
        <v>1</v>
      </c>
    </row>
    <row r="106">
      <c r="A106" s="3" t="inlineStr">
        <is>
          <t>4I22</t>
        </is>
      </c>
      <c r="B106" s="3" t="inlineStr">
        <is>
          <t>Gefitinib</t>
        </is>
      </c>
      <c r="C106" s="3" t="inlineStr"/>
      <c r="D106" s="3" t="inlineStr">
        <is>
          <t>IRE+2</t>
        </is>
      </c>
      <c r="E106" s="10" t="n">
        <v>1</v>
      </c>
      <c r="F106" s="10" t="n">
        <v>0.002</v>
      </c>
      <c r="G106" s="10" t="n">
        <v>0.002</v>
      </c>
      <c r="H106" s="10" t="n">
        <v>0.002</v>
      </c>
      <c r="I106" s="10" t="n">
        <v>0</v>
      </c>
      <c r="J106" s="10" t="n">
        <v>0</v>
      </c>
      <c r="K106" s="10" t="n">
        <v>0</v>
      </c>
      <c r="L106" s="3" t="n">
        <v>1</v>
      </c>
      <c r="M106" s="3" t="n">
        <v>1</v>
      </c>
      <c r="N106" s="3" t="n">
        <v>1</v>
      </c>
    </row>
    <row r="107">
      <c r="A107" s="3" t="inlineStr">
        <is>
          <t>4I22</t>
        </is>
      </c>
      <c r="B107" s="3" t="inlineStr">
        <is>
          <t>Gefitinib</t>
        </is>
      </c>
      <c r="C107" s="3" t="inlineStr"/>
      <c r="D107" s="3" t="inlineStr">
        <is>
          <t>IRE+3</t>
        </is>
      </c>
      <c r="E107" s="10" t="n">
        <v>1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3" t="n">
        <v>1</v>
      </c>
      <c r="M107" s="3" t="n">
        <v>1</v>
      </c>
      <c r="N107" s="3" t="n">
        <v>1</v>
      </c>
    </row>
    <row r="108">
      <c r="A108" s="3" t="inlineStr">
        <is>
          <t>4I22</t>
        </is>
      </c>
      <c r="B108" s="3" t="inlineStr">
        <is>
          <t>Gefitinib</t>
        </is>
      </c>
      <c r="C108" s="3" t="inlineStr"/>
      <c r="D108" s="3" t="inlineStr">
        <is>
          <t>IRE+a</t>
        </is>
      </c>
      <c r="E108" s="10" t="n">
        <v>2</v>
      </c>
      <c r="F108" s="10" t="n">
        <v>0</v>
      </c>
      <c r="G108" s="10" t="n">
        <v>0</v>
      </c>
      <c r="H108" s="10" t="n">
        <v>0</v>
      </c>
      <c r="I108" s="10" t="n">
        <v>0</v>
      </c>
      <c r="J108" s="10" t="n">
        <v>0</v>
      </c>
      <c r="K108" s="10" t="n">
        <v>0</v>
      </c>
      <c r="L108" s="3" t="n">
        <v>1</v>
      </c>
      <c r="M108" s="3" t="n">
        <v>1</v>
      </c>
      <c r="N108" s="3" t="n">
        <v>1</v>
      </c>
    </row>
    <row r="109">
      <c r="A109" s="3" t="inlineStr">
        <is>
          <t>4I22</t>
        </is>
      </c>
      <c r="B109" s="3" t="inlineStr">
        <is>
          <t>Gefitinib</t>
        </is>
      </c>
      <c r="C109" s="3" t="inlineStr"/>
      <c r="D109" s="3" t="inlineStr">
        <is>
          <t>IRE01</t>
        </is>
      </c>
      <c r="E109" s="10" t="n">
        <v>-0</v>
      </c>
      <c r="F109" s="10" t="n">
        <v>0.7</v>
      </c>
      <c r="G109" s="10" t="n">
        <v>0.7</v>
      </c>
      <c r="H109" s="10" t="n">
        <v>0.7</v>
      </c>
      <c r="I109" s="10" t="n">
        <v>0.522</v>
      </c>
      <c r="J109" s="10" t="n">
        <v>0.508</v>
      </c>
      <c r="K109" s="10" t="n">
        <v>0.478</v>
      </c>
      <c r="L109" s="3" t="n">
        <v>1</v>
      </c>
      <c r="M109" s="3" t="n">
        <v>1</v>
      </c>
      <c r="N109" s="3" t="n">
        <v>1</v>
      </c>
    </row>
    <row r="110">
      <c r="A110" s="3" t="inlineStr">
        <is>
          <t>4LMN</t>
        </is>
      </c>
      <c r="B110" s="3" t="inlineStr">
        <is>
          <t>Cobimetinib</t>
        </is>
      </c>
      <c r="C110" s="3" t="inlineStr"/>
      <c r="D110" s="3" t="inlineStr">
        <is>
          <t>EUI+1</t>
        </is>
      </c>
      <c r="E110" s="10" t="n">
        <v>1</v>
      </c>
      <c r="F110" s="10" t="n">
        <v>0.986</v>
      </c>
      <c r="G110" s="10" t="n">
        <v>0.986</v>
      </c>
      <c r="H110" s="10" t="n">
        <v>0.986</v>
      </c>
      <c r="I110" s="10" t="n">
        <v>0.511</v>
      </c>
      <c r="J110" s="10" t="n">
        <v>0.53</v>
      </c>
      <c r="K110" s="10" t="n">
        <v>0.525</v>
      </c>
      <c r="L110" s="3" t="n">
        <v>1</v>
      </c>
      <c r="M110" s="3" t="n">
        <v>1</v>
      </c>
      <c r="N110" s="3" t="n">
        <v>1</v>
      </c>
    </row>
    <row r="111">
      <c r="A111" s="3" t="inlineStr">
        <is>
          <t>4LMN</t>
        </is>
      </c>
      <c r="B111" s="3" t="inlineStr">
        <is>
          <t>Cobimetinib</t>
        </is>
      </c>
      <c r="C111" s="3" t="inlineStr"/>
      <c r="D111" s="3" t="inlineStr">
        <is>
          <t>EUI01</t>
        </is>
      </c>
      <c r="E111" s="10" t="n">
        <v>-0</v>
      </c>
      <c r="F111" s="10" t="n">
        <v>0.014</v>
      </c>
      <c r="G111" s="10" t="n">
        <v>0.014</v>
      </c>
      <c r="H111" s="10" t="n">
        <v>0.014</v>
      </c>
      <c r="I111" s="10" t="n">
        <v>0.489</v>
      </c>
      <c r="J111" s="10" t="n">
        <v>0.47</v>
      </c>
      <c r="K111" s="10" t="n">
        <v>0.475</v>
      </c>
      <c r="L111" s="3" t="n">
        <v>1</v>
      </c>
      <c r="M111" s="3" t="n">
        <v>1</v>
      </c>
      <c r="N111" s="3" t="n">
        <v>1</v>
      </c>
    </row>
    <row r="112">
      <c r="A112" s="3" t="inlineStr">
        <is>
          <t>4LMN</t>
        </is>
      </c>
      <c r="B112" s="3" t="inlineStr">
        <is>
          <t>Cobimetinib</t>
        </is>
      </c>
      <c r="C112" s="3" t="inlineStr"/>
      <c r="D112" s="3" t="inlineStr">
        <is>
          <t>EUI02</t>
        </is>
      </c>
      <c r="E112" s="10" t="n">
        <v>-0</v>
      </c>
      <c r="F112" s="10" t="n">
        <v>0</v>
      </c>
      <c r="G112" s="10" t="n">
        <v>0</v>
      </c>
      <c r="H112" s="10" t="n">
        <v>0</v>
      </c>
      <c r="I112" s="10" t="n">
        <v>0</v>
      </c>
      <c r="J112" s="10" t="n">
        <v>0</v>
      </c>
      <c r="K112" s="10" t="n">
        <v>0</v>
      </c>
      <c r="L112" s="3" t="n">
        <v>1</v>
      </c>
      <c r="M112" s="3" t="n">
        <v>1</v>
      </c>
      <c r="N112" s="3" t="n">
        <v>1</v>
      </c>
    </row>
    <row r="113">
      <c r="A113" s="3" t="inlineStr">
        <is>
          <t>4MKC</t>
        </is>
      </c>
      <c r="B113" s="3" t="inlineStr">
        <is>
          <t>Ceritinib</t>
        </is>
      </c>
      <c r="C113" s="3" t="inlineStr"/>
      <c r="D113" s="3" t="inlineStr">
        <is>
          <t>4MK+1</t>
        </is>
      </c>
      <c r="E113" s="10" t="n">
        <v>1</v>
      </c>
      <c r="F113" s="10" t="n">
        <v>0.999</v>
      </c>
      <c r="G113" s="10" t="n">
        <v>0.999</v>
      </c>
      <c r="H113" s="10" t="n">
        <v>0.999</v>
      </c>
      <c r="I113" s="10" t="n">
        <v>1</v>
      </c>
      <c r="J113" s="10" t="n">
        <v>1</v>
      </c>
      <c r="K113" s="10" t="n">
        <v>1</v>
      </c>
      <c r="L113" s="3" t="n">
        <v>1</v>
      </c>
      <c r="M113" s="3" t="n">
        <v>1</v>
      </c>
      <c r="N113" s="3" t="n">
        <v>1</v>
      </c>
    </row>
    <row r="114">
      <c r="A114" s="3" t="inlineStr">
        <is>
          <t>4MKC</t>
        </is>
      </c>
      <c r="B114" s="3" t="inlineStr">
        <is>
          <t>Ceritinib</t>
        </is>
      </c>
      <c r="C114" s="3" t="inlineStr"/>
      <c r="D114" s="3" t="inlineStr">
        <is>
          <t>4MK+a</t>
        </is>
      </c>
      <c r="E114" s="10" t="n">
        <v>2</v>
      </c>
      <c r="F114" s="10" t="n">
        <v>0</v>
      </c>
      <c r="G114" s="10" t="n">
        <v>0</v>
      </c>
      <c r="H114" s="10" t="n">
        <v>0</v>
      </c>
      <c r="I114" s="10" t="n">
        <v>0</v>
      </c>
      <c r="J114" s="10" t="n">
        <v>0</v>
      </c>
      <c r="K114" s="10" t="n">
        <v>0</v>
      </c>
      <c r="L114" s="3" t="n">
        <v>1</v>
      </c>
      <c r="M114" s="3" t="n">
        <v>1</v>
      </c>
      <c r="N114" s="3" t="n">
        <v>1</v>
      </c>
    </row>
    <row r="115">
      <c r="A115" s="3" t="inlineStr">
        <is>
          <t>4MKC</t>
        </is>
      </c>
      <c r="B115" s="3" t="inlineStr">
        <is>
          <t>Ceritinib</t>
        </is>
      </c>
      <c r="C115" s="3" t="inlineStr"/>
      <c r="D115" s="3" t="inlineStr">
        <is>
          <t>4MK01</t>
        </is>
      </c>
      <c r="E115" s="10" t="n">
        <v>-0</v>
      </c>
      <c r="F115" s="10" t="n">
        <v>0.001</v>
      </c>
      <c r="G115" s="10" t="n">
        <v>0.001</v>
      </c>
      <c r="H115" s="10" t="n">
        <v>0.001</v>
      </c>
      <c r="I115" s="10" t="n">
        <v>0</v>
      </c>
      <c r="J115" s="10" t="n">
        <v>0</v>
      </c>
      <c r="K115" s="10" t="n">
        <v>0</v>
      </c>
      <c r="L115" s="3" t="n">
        <v>1</v>
      </c>
      <c r="M115" s="3" t="n">
        <v>1</v>
      </c>
      <c r="N115" s="3" t="n">
        <v>1</v>
      </c>
    </row>
    <row r="116">
      <c r="A116" s="3" t="inlineStr">
        <is>
          <t>4WKQ</t>
        </is>
      </c>
      <c r="B116" s="3" t="inlineStr">
        <is>
          <t>Gefitinib</t>
        </is>
      </c>
      <c r="C116" s="3" t="inlineStr"/>
      <c r="D116" s="3" t="inlineStr">
        <is>
          <t>IRE+1</t>
        </is>
      </c>
      <c r="E116" s="10" t="n">
        <v>1</v>
      </c>
      <c r="F116" s="10" t="n">
        <v>0.298</v>
      </c>
      <c r="G116" s="10" t="n">
        <v>0.298</v>
      </c>
      <c r="H116" s="10" t="n">
        <v>0.298</v>
      </c>
      <c r="I116" s="10" t="n">
        <v>0.427</v>
      </c>
      <c r="J116" s="10" t="n">
        <v>0.49</v>
      </c>
      <c r="K116" s="10" t="n">
        <v>0.47</v>
      </c>
      <c r="L116" s="3" t="n">
        <v>1</v>
      </c>
      <c r="M116" s="3" t="n">
        <v>1</v>
      </c>
      <c r="N116" s="3" t="n">
        <v>1</v>
      </c>
    </row>
    <row r="117">
      <c r="A117" s="3" t="inlineStr">
        <is>
          <t>4WKQ</t>
        </is>
      </c>
      <c r="B117" s="3" t="inlineStr">
        <is>
          <t>Gefitinib</t>
        </is>
      </c>
      <c r="C117" s="3" t="inlineStr"/>
      <c r="D117" s="3" t="inlineStr">
        <is>
          <t>IRE+2</t>
        </is>
      </c>
      <c r="E117" s="10" t="n">
        <v>1</v>
      </c>
      <c r="F117" s="10" t="n">
        <v>0.002</v>
      </c>
      <c r="G117" s="10" t="n">
        <v>0.002</v>
      </c>
      <c r="H117" s="10" t="n">
        <v>0.002</v>
      </c>
      <c r="I117" s="10" t="n">
        <v>0</v>
      </c>
      <c r="J117" s="10" t="n">
        <v>0</v>
      </c>
      <c r="K117" s="10" t="n">
        <v>0</v>
      </c>
      <c r="L117" s="3" t="n">
        <v>1</v>
      </c>
      <c r="M117" s="3" t="n">
        <v>1</v>
      </c>
      <c r="N117" s="3" t="n">
        <v>1</v>
      </c>
    </row>
    <row r="118">
      <c r="A118" s="3" t="inlineStr">
        <is>
          <t>4WKQ</t>
        </is>
      </c>
      <c r="B118" s="3" t="inlineStr">
        <is>
          <t>Gefitinib</t>
        </is>
      </c>
      <c r="C118" s="3" t="inlineStr"/>
      <c r="D118" s="3" t="inlineStr">
        <is>
          <t>IRE+3</t>
        </is>
      </c>
      <c r="E118" s="10" t="n">
        <v>1</v>
      </c>
      <c r="F118" s="10" t="n">
        <v>0</v>
      </c>
      <c r="G118" s="10" t="n">
        <v>0</v>
      </c>
      <c r="H118" s="10" t="n">
        <v>0</v>
      </c>
      <c r="I118" s="10" t="n">
        <v>0</v>
      </c>
      <c r="J118" s="10" t="n">
        <v>0</v>
      </c>
      <c r="K118" s="10" t="n">
        <v>0</v>
      </c>
      <c r="L118" s="3" t="n">
        <v>1</v>
      </c>
      <c r="M118" s="3" t="n">
        <v>1</v>
      </c>
      <c r="N118" s="3" t="n">
        <v>1</v>
      </c>
    </row>
    <row r="119">
      <c r="A119" s="3" t="inlineStr">
        <is>
          <t>4WKQ</t>
        </is>
      </c>
      <c r="B119" s="3" t="inlineStr">
        <is>
          <t>Gefitinib</t>
        </is>
      </c>
      <c r="C119" s="3" t="inlineStr"/>
      <c r="D119" s="3" t="inlineStr">
        <is>
          <t>IRE+a</t>
        </is>
      </c>
      <c r="E119" s="10" t="n">
        <v>2</v>
      </c>
      <c r="F119" s="10" t="n">
        <v>0</v>
      </c>
      <c r="G119" s="10" t="n">
        <v>0</v>
      </c>
      <c r="H119" s="10" t="n">
        <v>0</v>
      </c>
      <c r="I119" s="10" t="n">
        <v>0</v>
      </c>
      <c r="J119" s="10" t="n">
        <v>0</v>
      </c>
      <c r="K119" s="10" t="n">
        <v>0</v>
      </c>
      <c r="L119" s="3" t="n">
        <v>1</v>
      </c>
      <c r="M119" s="3" t="n">
        <v>1</v>
      </c>
      <c r="N119" s="3" t="n">
        <v>1</v>
      </c>
    </row>
    <row r="120">
      <c r="A120" s="3" t="inlineStr">
        <is>
          <t>4WKQ</t>
        </is>
      </c>
      <c r="B120" s="3" t="inlineStr">
        <is>
          <t>Gefitinib</t>
        </is>
      </c>
      <c r="C120" s="3" t="inlineStr"/>
      <c r="D120" s="3" t="inlineStr">
        <is>
          <t>IRE01</t>
        </is>
      </c>
      <c r="E120" s="10" t="n">
        <v>-0</v>
      </c>
      <c r="F120" s="10" t="n">
        <v>0.7</v>
      </c>
      <c r="G120" s="10" t="n">
        <v>0.7</v>
      </c>
      <c r="H120" s="10" t="n">
        <v>0.7</v>
      </c>
      <c r="I120" s="10" t="n">
        <v>0.573</v>
      </c>
      <c r="J120" s="10" t="n">
        <v>0.51</v>
      </c>
      <c r="K120" s="10" t="n">
        <v>0.53</v>
      </c>
      <c r="L120" s="3" t="n">
        <v>1</v>
      </c>
      <c r="M120" s="3" t="n">
        <v>1</v>
      </c>
      <c r="N120" s="3" t="n">
        <v>1</v>
      </c>
    </row>
    <row r="121">
      <c r="A121" s="3" t="inlineStr">
        <is>
          <t>4ZAU</t>
        </is>
      </c>
      <c r="B121" s="3" t="inlineStr">
        <is>
          <t>Osimertinib</t>
        </is>
      </c>
      <c r="C121" s="3" t="inlineStr"/>
      <c r="D121" s="3" t="inlineStr">
        <is>
          <t>YY3+1</t>
        </is>
      </c>
      <c r="E121" s="10" t="n">
        <v>1</v>
      </c>
      <c r="F121" s="10" t="n">
        <v>0.974</v>
      </c>
      <c r="G121" s="10" t="n">
        <v>0.974</v>
      </c>
      <c r="H121" s="10" t="n">
        <v>0.974</v>
      </c>
      <c r="I121" s="10" t="n">
        <v>0.989</v>
      </c>
      <c r="J121" s="10" t="n">
        <v>0.983</v>
      </c>
      <c r="K121" s="10" t="n">
        <v>0.982</v>
      </c>
      <c r="L121" s="3" t="n">
        <v>1</v>
      </c>
      <c r="M121" s="3" t="n">
        <v>1</v>
      </c>
      <c r="N121" s="3" t="n">
        <v>1</v>
      </c>
    </row>
    <row r="122">
      <c r="A122" s="3" t="inlineStr">
        <is>
          <t>4ZAU</t>
        </is>
      </c>
      <c r="B122" s="3" t="inlineStr">
        <is>
          <t>Osimertinib</t>
        </is>
      </c>
      <c r="C122" s="3" t="inlineStr"/>
      <c r="D122" s="3" t="inlineStr">
        <is>
          <t>YY3+2</t>
        </is>
      </c>
      <c r="E122" s="10" t="n">
        <v>1</v>
      </c>
      <c r="F122" s="10" t="n">
        <v>0.004</v>
      </c>
      <c r="G122" s="10" t="n">
        <v>0.004</v>
      </c>
      <c r="H122" s="10" t="n">
        <v>0.004</v>
      </c>
      <c r="I122" s="10" t="n">
        <v>0.004</v>
      </c>
      <c r="J122" s="10" t="n">
        <v>0.002</v>
      </c>
      <c r="K122" s="10" t="n">
        <v>0.004</v>
      </c>
      <c r="L122" s="3" t="n">
        <v>1</v>
      </c>
      <c r="M122" s="3" t="n">
        <v>1</v>
      </c>
      <c r="N122" s="3" t="n">
        <v>1</v>
      </c>
    </row>
    <row r="123">
      <c r="A123" s="3" t="inlineStr">
        <is>
          <t>4ZAU</t>
        </is>
      </c>
      <c r="B123" s="3" t="inlineStr">
        <is>
          <t>Osimertinib</t>
        </is>
      </c>
      <c r="C123" s="3" t="inlineStr"/>
      <c r="D123" s="3" t="inlineStr">
        <is>
          <t>YY3+3</t>
        </is>
      </c>
      <c r="E123" s="10" t="n">
        <v>1</v>
      </c>
      <c r="F123" s="10" t="n">
        <v>0.001</v>
      </c>
      <c r="G123" s="10" t="n">
        <v>0.001</v>
      </c>
      <c r="H123" s="10" t="n">
        <v>0.001</v>
      </c>
      <c r="I123" s="10" t="n">
        <v>0</v>
      </c>
      <c r="J123" s="10" t="n">
        <v>0.008</v>
      </c>
      <c r="K123" s="10" t="n">
        <v>0.004</v>
      </c>
      <c r="L123" s="3" t="n">
        <v>3</v>
      </c>
      <c r="M123" s="3" t="n">
        <v>3</v>
      </c>
      <c r="N123" s="3" t="n">
        <v>3</v>
      </c>
    </row>
    <row r="124">
      <c r="A124" s="3" t="inlineStr">
        <is>
          <t>4ZAU</t>
        </is>
      </c>
      <c r="B124" s="3" t="inlineStr">
        <is>
          <t>Osimertinib</t>
        </is>
      </c>
      <c r="C124" s="3" t="inlineStr"/>
      <c r="D124" s="3" t="inlineStr">
        <is>
          <t>YY3+4</t>
        </is>
      </c>
      <c r="E124" s="10" t="n">
        <v>1</v>
      </c>
      <c r="F124" s="10" t="n">
        <v>0</v>
      </c>
      <c r="G124" s="10" t="n">
        <v>0</v>
      </c>
      <c r="H124" s="10" t="n">
        <v>0</v>
      </c>
      <c r="I124" s="10" t="n">
        <v>0</v>
      </c>
      <c r="J124" s="10" t="n">
        <v>0</v>
      </c>
      <c r="K124" s="10" t="n">
        <v>0</v>
      </c>
      <c r="L124" s="3" t="n">
        <v>3</v>
      </c>
      <c r="M124" s="3" t="n">
        <v>3</v>
      </c>
      <c r="N124" s="3" t="n">
        <v>3</v>
      </c>
    </row>
    <row r="125">
      <c r="A125" s="3" t="inlineStr">
        <is>
          <t>4ZAU</t>
        </is>
      </c>
      <c r="B125" s="3" t="inlineStr">
        <is>
          <t>Osimertinib</t>
        </is>
      </c>
      <c r="C125" s="3" t="inlineStr"/>
      <c r="D125" s="3" t="inlineStr">
        <is>
          <t>YY3+a</t>
        </is>
      </c>
      <c r="E125" s="10" t="n">
        <v>2</v>
      </c>
      <c r="F125" s="10" t="n">
        <v>0</v>
      </c>
      <c r="G125" s="10" t="n">
        <v>0</v>
      </c>
      <c r="H125" s="10" t="n">
        <v>0</v>
      </c>
      <c r="I125" s="10" t="n">
        <v>0</v>
      </c>
      <c r="J125" s="10" t="n">
        <v>0</v>
      </c>
      <c r="K125" s="10" t="n">
        <v>0</v>
      </c>
      <c r="L125" s="3" t="n">
        <v>3</v>
      </c>
      <c r="M125" s="3" t="n">
        <v>3</v>
      </c>
      <c r="N125" s="3" t="n">
        <v>3</v>
      </c>
    </row>
    <row r="126">
      <c r="A126" s="3" t="inlineStr">
        <is>
          <t>4ZAU</t>
        </is>
      </c>
      <c r="B126" s="3" t="inlineStr">
        <is>
          <t>Osimertinib</t>
        </is>
      </c>
      <c r="C126" s="3" t="inlineStr"/>
      <c r="D126" s="3" t="inlineStr">
        <is>
          <t>YY3+b</t>
        </is>
      </c>
      <c r="E126" s="10" t="n">
        <v>2</v>
      </c>
      <c r="F126" s="10" t="n">
        <v>0</v>
      </c>
      <c r="G126" s="10" t="n">
        <v>0</v>
      </c>
      <c r="H126" s="10" t="n">
        <v>0</v>
      </c>
      <c r="I126" s="10" t="n">
        <v>0</v>
      </c>
      <c r="J126" s="10" t="n">
        <v>0</v>
      </c>
      <c r="K126" s="10" t="n">
        <v>0</v>
      </c>
      <c r="L126" s="3" t="n">
        <v>1</v>
      </c>
      <c r="M126" s="3" t="n">
        <v>1</v>
      </c>
      <c r="N126" s="3" t="n">
        <v>1</v>
      </c>
    </row>
    <row r="127">
      <c r="A127" s="3" t="inlineStr">
        <is>
          <t>4ZAU</t>
        </is>
      </c>
      <c r="B127" s="3" t="inlineStr">
        <is>
          <t>Osimertinib</t>
        </is>
      </c>
      <c r="C127" s="3" t="inlineStr"/>
      <c r="D127" s="3" t="inlineStr">
        <is>
          <t>YY301</t>
        </is>
      </c>
      <c r="E127" s="10" t="n">
        <v>0</v>
      </c>
      <c r="F127" s="10" t="n">
        <v>0.021</v>
      </c>
      <c r="G127" s="10" t="n">
        <v>0.021</v>
      </c>
      <c r="H127" s="10" t="n">
        <v>0.021</v>
      </c>
      <c r="I127" s="10" t="n">
        <v>0.007</v>
      </c>
      <c r="J127" s="10" t="n">
        <v>0.007</v>
      </c>
      <c r="K127" s="10" t="n">
        <v>0.01</v>
      </c>
      <c r="L127" s="3" t="n">
        <v>1</v>
      </c>
      <c r="M127" s="3" t="n">
        <v>1</v>
      </c>
      <c r="N127" s="3" t="n">
        <v>1</v>
      </c>
    </row>
    <row r="128">
      <c r="A128" s="3" t="inlineStr">
        <is>
          <t>5AAA</t>
        </is>
      </c>
      <c r="B128" s="3" t="inlineStr">
        <is>
          <t>Crizotinib</t>
        </is>
      </c>
      <c r="C128" s="3" t="inlineStr"/>
      <c r="D128" s="3" t="inlineStr">
        <is>
          <t>VGH+1</t>
        </is>
      </c>
      <c r="E128" s="10" t="n">
        <v>1</v>
      </c>
      <c r="F128" s="10" t="n">
        <v>0.378</v>
      </c>
      <c r="G128" s="10" t="n">
        <v>0.378</v>
      </c>
      <c r="H128" s="10" t="n">
        <v>0.378</v>
      </c>
      <c r="I128" s="10" t="n">
        <v>1</v>
      </c>
      <c r="J128" s="10" t="n">
        <v>1</v>
      </c>
      <c r="K128" s="10" t="n">
        <v>1</v>
      </c>
      <c r="L128" s="3" t="n">
        <v>1</v>
      </c>
      <c r="M128" s="3" t="n">
        <v>1</v>
      </c>
      <c r="N128" s="3" t="n">
        <v>1</v>
      </c>
    </row>
    <row r="129">
      <c r="A129" s="3" t="inlineStr">
        <is>
          <t>5AAA</t>
        </is>
      </c>
      <c r="B129" s="3" t="inlineStr">
        <is>
          <t>Crizotinib</t>
        </is>
      </c>
      <c r="C129" s="3" t="inlineStr"/>
      <c r="D129" s="3" t="inlineStr">
        <is>
          <t>VGH+2</t>
        </is>
      </c>
      <c r="E129" s="10" t="n">
        <v>1</v>
      </c>
      <c r="F129" s="10" t="n">
        <v>0.002</v>
      </c>
      <c r="G129" s="10" t="n">
        <v>0.002</v>
      </c>
      <c r="H129" s="10" t="n">
        <v>0.002</v>
      </c>
      <c r="I129" s="10" t="n">
        <v>0</v>
      </c>
      <c r="J129" s="10" t="n">
        <v>0</v>
      </c>
      <c r="K129" s="10" t="n">
        <v>0</v>
      </c>
      <c r="L129" s="3" t="n">
        <v>1</v>
      </c>
      <c r="M129" s="3" t="n">
        <v>1</v>
      </c>
      <c r="N129" s="3" t="n">
        <v>1</v>
      </c>
    </row>
    <row r="130">
      <c r="A130" s="3" t="inlineStr">
        <is>
          <t>5AAA</t>
        </is>
      </c>
      <c r="B130" s="3" t="inlineStr">
        <is>
          <t>Crizotinib</t>
        </is>
      </c>
      <c r="C130" s="3" t="inlineStr"/>
      <c r="D130" s="3" t="inlineStr">
        <is>
          <t>VGH+a</t>
        </is>
      </c>
      <c r="E130" s="10" t="n">
        <v>2</v>
      </c>
      <c r="F130" s="10" t="n">
        <v>0.615</v>
      </c>
      <c r="G130" s="10" t="n">
        <v>0.615</v>
      </c>
      <c r="H130" s="10" t="n">
        <v>0.615</v>
      </c>
      <c r="I130" s="10" t="n">
        <v>0</v>
      </c>
      <c r="J130" s="10" t="n">
        <v>0</v>
      </c>
      <c r="K130" s="10" t="n">
        <v>0</v>
      </c>
      <c r="L130" s="3" t="n">
        <v>2</v>
      </c>
      <c r="M130" s="3" t="n">
        <v>1</v>
      </c>
      <c r="N130" s="3" t="n">
        <v>1</v>
      </c>
    </row>
    <row r="131">
      <c r="A131" s="3" t="inlineStr">
        <is>
          <t>5AAA</t>
        </is>
      </c>
      <c r="B131" s="3" t="inlineStr">
        <is>
          <t>Crizotinib</t>
        </is>
      </c>
      <c r="C131" s="3" t="inlineStr"/>
      <c r="D131" s="3" t="inlineStr">
        <is>
          <t>VGH01</t>
        </is>
      </c>
      <c r="E131" s="10" t="n">
        <v>0</v>
      </c>
      <c r="F131" s="10" t="n">
        <v>0.005</v>
      </c>
      <c r="G131" s="10" t="n">
        <v>0.005</v>
      </c>
      <c r="H131" s="10" t="n">
        <v>0.005</v>
      </c>
      <c r="I131" s="10" t="n">
        <v>0</v>
      </c>
      <c r="J131" s="10" t="n">
        <v>0</v>
      </c>
      <c r="K131" s="10" t="n">
        <v>0</v>
      </c>
      <c r="L131" s="3" t="n">
        <v>1</v>
      </c>
      <c r="M131" s="3" t="n">
        <v>1</v>
      </c>
      <c r="N131" s="3" t="n">
        <v>1</v>
      </c>
    </row>
    <row r="132">
      <c r="A132" s="3" t="inlineStr">
        <is>
          <t>5AAB</t>
        </is>
      </c>
      <c r="B132" s="3" t="inlineStr">
        <is>
          <t>Crizotinib</t>
        </is>
      </c>
      <c r="C132" s="3" t="inlineStr"/>
      <c r="D132" s="3" t="inlineStr">
        <is>
          <t>VGH+1</t>
        </is>
      </c>
      <c r="E132" s="10" t="n">
        <v>1</v>
      </c>
      <c r="F132" s="10" t="n">
        <v>0.378</v>
      </c>
      <c r="G132" s="10" t="n">
        <v>0.378</v>
      </c>
      <c r="H132" s="10" t="n">
        <v>0.378</v>
      </c>
      <c r="I132" s="10" t="n">
        <v>1</v>
      </c>
      <c r="J132" s="10" t="n">
        <v>0.999</v>
      </c>
      <c r="K132" s="10" t="n">
        <v>1</v>
      </c>
      <c r="L132" s="3" t="n">
        <v>1</v>
      </c>
      <c r="M132" s="3" t="n">
        <v>1</v>
      </c>
      <c r="N132" s="3" t="n">
        <v>1</v>
      </c>
    </row>
    <row r="133">
      <c r="A133" s="3" t="inlineStr">
        <is>
          <t>5AAB</t>
        </is>
      </c>
      <c r="B133" s="3" t="inlineStr">
        <is>
          <t>Crizotinib</t>
        </is>
      </c>
      <c r="C133" s="3" t="inlineStr"/>
      <c r="D133" s="3" t="inlineStr">
        <is>
          <t>VGH+2</t>
        </is>
      </c>
      <c r="E133" s="10" t="n">
        <v>1</v>
      </c>
      <c r="F133" s="10" t="n">
        <v>0.002</v>
      </c>
      <c r="G133" s="10" t="n">
        <v>0.002</v>
      </c>
      <c r="H133" s="10" t="n">
        <v>0.002</v>
      </c>
      <c r="I133" s="10" t="n">
        <v>0</v>
      </c>
      <c r="J133" s="10" t="n">
        <v>0</v>
      </c>
      <c r="K133" s="10" t="n">
        <v>0</v>
      </c>
      <c r="L133" s="3" t="n">
        <v>1</v>
      </c>
      <c r="M133" s="3" t="n">
        <v>1</v>
      </c>
      <c r="N133" s="3" t="n">
        <v>1</v>
      </c>
    </row>
    <row r="134">
      <c r="A134" s="3" t="inlineStr">
        <is>
          <t>5AAB</t>
        </is>
      </c>
      <c r="B134" s="3" t="inlineStr">
        <is>
          <t>Crizotinib</t>
        </is>
      </c>
      <c r="C134" s="3" t="inlineStr"/>
      <c r="D134" s="3" t="inlineStr">
        <is>
          <t>VGH+a</t>
        </is>
      </c>
      <c r="E134" s="10" t="n">
        <v>2</v>
      </c>
      <c r="F134" s="10" t="n">
        <v>0.615</v>
      </c>
      <c r="G134" s="10" t="n">
        <v>0.615</v>
      </c>
      <c r="H134" s="10" t="n">
        <v>0.615</v>
      </c>
      <c r="I134" s="10" t="n">
        <v>0</v>
      </c>
      <c r="J134" s="10" t="n">
        <v>0</v>
      </c>
      <c r="K134" s="10" t="n">
        <v>0</v>
      </c>
      <c r="L134" s="3" t="n">
        <v>2</v>
      </c>
      <c r="M134" s="3" t="n">
        <v>1</v>
      </c>
      <c r="N134" s="3" t="n">
        <v>1</v>
      </c>
    </row>
    <row r="135">
      <c r="A135" s="3" t="inlineStr">
        <is>
          <t>5AAB</t>
        </is>
      </c>
      <c r="B135" s="3" t="inlineStr">
        <is>
          <t>Crizotinib</t>
        </is>
      </c>
      <c r="C135" s="3" t="inlineStr"/>
      <c r="D135" s="3" t="inlineStr">
        <is>
          <t>VGH01</t>
        </is>
      </c>
      <c r="E135" s="10" t="n">
        <v>0</v>
      </c>
      <c r="F135" s="10" t="n">
        <v>0.005</v>
      </c>
      <c r="G135" s="10" t="n">
        <v>0.005</v>
      </c>
      <c r="H135" s="10" t="n">
        <v>0.005</v>
      </c>
      <c r="I135" s="10" t="n">
        <v>0</v>
      </c>
      <c r="J135" s="10" t="n">
        <v>0.001</v>
      </c>
      <c r="K135" s="10" t="n">
        <v>0</v>
      </c>
      <c r="L135" s="3" t="n">
        <v>1</v>
      </c>
      <c r="M135" s="3" t="n">
        <v>1</v>
      </c>
      <c r="N135" s="3" t="n">
        <v>1</v>
      </c>
    </row>
    <row r="136">
      <c r="A136" s="3" t="inlineStr">
        <is>
          <t>5AAC</t>
        </is>
      </c>
      <c r="B136" s="3" t="inlineStr">
        <is>
          <t>Crizotinib</t>
        </is>
      </c>
      <c r="C136" s="3" t="inlineStr"/>
      <c r="D136" s="3" t="inlineStr">
        <is>
          <t>VGH+1</t>
        </is>
      </c>
      <c r="E136" s="10" t="n">
        <v>1</v>
      </c>
      <c r="F136" s="10" t="n">
        <v>0.378</v>
      </c>
      <c r="G136" s="10" t="n">
        <v>0.378</v>
      </c>
      <c r="H136" s="10" t="n">
        <v>0.378</v>
      </c>
      <c r="I136" s="10" t="n">
        <v>1</v>
      </c>
      <c r="J136" s="10" t="n">
        <v>1</v>
      </c>
      <c r="K136" s="10" t="n">
        <v>1</v>
      </c>
      <c r="L136" s="3" t="n">
        <v>1</v>
      </c>
      <c r="M136" s="3" t="n">
        <v>1</v>
      </c>
      <c r="N136" s="3" t="n">
        <v>1</v>
      </c>
    </row>
    <row r="137">
      <c r="A137" s="3" t="inlineStr">
        <is>
          <t>5AAC</t>
        </is>
      </c>
      <c r="B137" s="3" t="inlineStr">
        <is>
          <t>Crizotinib</t>
        </is>
      </c>
      <c r="C137" s="3" t="inlineStr"/>
      <c r="D137" s="3" t="inlineStr">
        <is>
          <t>VGH+2</t>
        </is>
      </c>
      <c r="E137" s="10" t="n">
        <v>1</v>
      </c>
      <c r="F137" s="10" t="n">
        <v>0.002</v>
      </c>
      <c r="G137" s="10" t="n">
        <v>0.002</v>
      </c>
      <c r="H137" s="10" t="n">
        <v>0.002</v>
      </c>
      <c r="I137" s="10" t="n">
        <v>0</v>
      </c>
      <c r="J137" s="10" t="n">
        <v>0</v>
      </c>
      <c r="K137" s="10" t="n">
        <v>0</v>
      </c>
      <c r="L137" s="3" t="n">
        <v>1</v>
      </c>
      <c r="M137" s="3" t="n">
        <v>1</v>
      </c>
      <c r="N137" s="3" t="n">
        <v>1</v>
      </c>
    </row>
    <row r="138">
      <c r="A138" s="3" t="inlineStr">
        <is>
          <t>5AAC</t>
        </is>
      </c>
      <c r="B138" s="3" t="inlineStr">
        <is>
          <t>Crizotinib</t>
        </is>
      </c>
      <c r="C138" s="3" t="inlineStr"/>
      <c r="D138" s="3" t="inlineStr">
        <is>
          <t>VGH+a</t>
        </is>
      </c>
      <c r="E138" s="10" t="n">
        <v>2</v>
      </c>
      <c r="F138" s="10" t="n">
        <v>0.615</v>
      </c>
      <c r="G138" s="10" t="n">
        <v>0.615</v>
      </c>
      <c r="H138" s="10" t="n">
        <v>0.615</v>
      </c>
      <c r="I138" s="10" t="n">
        <v>0</v>
      </c>
      <c r="J138" s="10" t="n">
        <v>0</v>
      </c>
      <c r="K138" s="10" t="n">
        <v>0</v>
      </c>
      <c r="L138" s="3" t="n">
        <v>2</v>
      </c>
      <c r="M138" s="3" t="n">
        <v>1</v>
      </c>
      <c r="N138" s="3" t="n">
        <v>1</v>
      </c>
    </row>
    <row r="139">
      <c r="A139" s="3" t="inlineStr">
        <is>
          <t>5AAC</t>
        </is>
      </c>
      <c r="B139" s="3" t="inlineStr">
        <is>
          <t>Crizotinib</t>
        </is>
      </c>
      <c r="C139" s="3" t="inlineStr"/>
      <c r="D139" s="3" t="inlineStr">
        <is>
          <t>VGH01</t>
        </is>
      </c>
      <c r="E139" s="10" t="n">
        <v>0</v>
      </c>
      <c r="F139" s="10" t="n">
        <v>0.005</v>
      </c>
      <c r="G139" s="10" t="n">
        <v>0.005</v>
      </c>
      <c r="H139" s="10" t="n">
        <v>0.005</v>
      </c>
      <c r="I139" s="10" t="n">
        <v>0</v>
      </c>
      <c r="J139" s="10" t="n">
        <v>0</v>
      </c>
      <c r="K139" s="10" t="n">
        <v>0</v>
      </c>
      <c r="L139" s="3" t="n">
        <v>1</v>
      </c>
      <c r="M139" s="3" t="n">
        <v>1</v>
      </c>
      <c r="N139" s="3" t="n">
        <v>1</v>
      </c>
    </row>
    <row r="140">
      <c r="A140" s="3" t="inlineStr">
        <is>
          <t>5L2I</t>
        </is>
      </c>
      <c r="B140" s="3" t="inlineStr">
        <is>
          <t>Palbociclib</t>
        </is>
      </c>
      <c r="C140" s="3" t="inlineStr"/>
      <c r="D140" s="3" t="inlineStr">
        <is>
          <t>LQQ+1</t>
        </is>
      </c>
      <c r="E140" s="10" t="n">
        <v>1</v>
      </c>
      <c r="F140" s="10" t="n">
        <v>0.975</v>
      </c>
      <c r="G140" s="10" t="n">
        <v>0.975</v>
      </c>
      <c r="H140" s="10" t="n">
        <v>0.975</v>
      </c>
      <c r="I140" s="10" t="n">
        <v>0.993</v>
      </c>
      <c r="J140" s="10" t="n">
        <v>0.994</v>
      </c>
      <c r="K140" s="10" t="n">
        <v>0.994</v>
      </c>
      <c r="L140" s="3" t="n">
        <v>1</v>
      </c>
      <c r="M140" s="3" t="n">
        <v>1</v>
      </c>
      <c r="N140" s="3" t="n">
        <v>1</v>
      </c>
    </row>
    <row r="141">
      <c r="A141" s="3" t="inlineStr">
        <is>
          <t>5L2I</t>
        </is>
      </c>
      <c r="B141" s="3" t="inlineStr">
        <is>
          <t>Palbociclib</t>
        </is>
      </c>
      <c r="C141" s="3" t="inlineStr"/>
      <c r="D141" s="3" t="inlineStr">
        <is>
          <t>LQQ01</t>
        </is>
      </c>
      <c r="E141" s="10" t="n">
        <v>0</v>
      </c>
      <c r="F141" s="10" t="n">
        <v>0.025</v>
      </c>
      <c r="G141" s="10" t="n">
        <v>0.025</v>
      </c>
      <c r="H141" s="10" t="n">
        <v>0.025</v>
      </c>
      <c r="I141" s="10" t="n">
        <v>0.007</v>
      </c>
      <c r="J141" s="10" t="n">
        <v>0.006</v>
      </c>
      <c r="K141" s="10" t="n">
        <v>0.006</v>
      </c>
      <c r="L141" s="3" t="n">
        <v>1</v>
      </c>
      <c r="M141" s="3" t="n">
        <v>1</v>
      </c>
      <c r="N141" s="3" t="n">
        <v>1</v>
      </c>
    </row>
    <row r="142">
      <c r="A142" s="3" t="inlineStr">
        <is>
          <t>5MO4</t>
        </is>
      </c>
      <c r="B142" s="3" t="inlineStr">
        <is>
          <t>Nilotinib</t>
        </is>
      </c>
      <c r="C142" s="3" t="inlineStr"/>
      <c r="D142" s="3" t="inlineStr">
        <is>
          <t>NIL+1</t>
        </is>
      </c>
      <c r="E142" s="10" t="n">
        <v>1</v>
      </c>
      <c r="F142" s="10" t="n">
        <v>0.093</v>
      </c>
      <c r="G142" s="10" t="n">
        <v>0.093</v>
      </c>
      <c r="H142" s="10" t="n">
        <v>0.093</v>
      </c>
      <c r="I142" s="10" t="n">
        <v>0.231</v>
      </c>
      <c r="J142" s="10" t="n">
        <v>0.225</v>
      </c>
      <c r="K142" s="10" t="n">
        <v>0.247</v>
      </c>
      <c r="L142" s="3" t="n">
        <v>1</v>
      </c>
      <c r="M142" s="3" t="n">
        <v>1</v>
      </c>
      <c r="N142" s="3" t="n">
        <v>1</v>
      </c>
    </row>
    <row r="143">
      <c r="A143" s="3" t="inlineStr">
        <is>
          <t>5MO4</t>
        </is>
      </c>
      <c r="B143" s="3" t="inlineStr">
        <is>
          <t>Nilotinib</t>
        </is>
      </c>
      <c r="C143" s="3" t="inlineStr"/>
      <c r="D143" s="3" t="inlineStr">
        <is>
          <t>NIL+2</t>
        </is>
      </c>
      <c r="E143" s="10" t="n">
        <v>1</v>
      </c>
      <c r="F143" s="10" t="n">
        <v>0</v>
      </c>
      <c r="G143" s="10" t="n">
        <v>0</v>
      </c>
      <c r="H143" s="10" t="n">
        <v>0</v>
      </c>
      <c r="I143" s="10" t="n">
        <v>0</v>
      </c>
      <c r="J143" s="10" t="n">
        <v>0</v>
      </c>
      <c r="K143" s="10" t="n">
        <v>0</v>
      </c>
      <c r="L143" s="3" t="n">
        <v>1</v>
      </c>
      <c r="M143" s="3" t="n">
        <v>1</v>
      </c>
      <c r="N143" s="3" t="n">
        <v>1</v>
      </c>
    </row>
    <row r="144">
      <c r="A144" s="3" t="inlineStr">
        <is>
          <t>5MO4</t>
        </is>
      </c>
      <c r="B144" s="3" t="inlineStr">
        <is>
          <t>Nilotinib</t>
        </is>
      </c>
      <c r="C144" s="3" t="inlineStr"/>
      <c r="D144" s="3" t="inlineStr">
        <is>
          <t>NIL01</t>
        </is>
      </c>
      <c r="E144" s="10" t="n">
        <v>-0</v>
      </c>
      <c r="F144" s="10" t="n">
        <v>0.907</v>
      </c>
      <c r="G144" s="10" t="n">
        <v>0.907</v>
      </c>
      <c r="H144" s="10" t="n">
        <v>0.907</v>
      </c>
      <c r="I144" s="10" t="n">
        <v>0.769</v>
      </c>
      <c r="J144" s="10" t="n">
        <v>0.775</v>
      </c>
      <c r="K144" s="10" t="n">
        <v>0.753</v>
      </c>
      <c r="L144" s="3" t="n">
        <v>1</v>
      </c>
      <c r="M144" s="3" t="n">
        <v>1</v>
      </c>
      <c r="N144" s="3" t="n">
        <v>1</v>
      </c>
    </row>
    <row r="146">
      <c r="A146" s="5" t="inlineStr">
        <is>
          <t>Occupancy at pH 7.4 from xts_fort.38, summed over the rotamers of each conformer type, per trial. Charge from head3.lst. Types rather than individual rotamers because step2 is stochastic: the rotamer count inside a type varies between trials, so rotamers cannot be matched one-to-one.</t>
        </is>
      </c>
    </row>
  </sheetData>
  <mergeCells count="3">
    <mergeCell ref="L1:N1"/>
    <mergeCell ref="F1:H1"/>
    <mergeCell ref="I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24" customWidth="1" min="4" max="4"/>
    <col width="15" customWidth="1" min="5" max="5"/>
    <col width="10" customWidth="1" min="6" max="6"/>
    <col width="10" customWidth="1" min="7" max="7"/>
    <col width="15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6" t="inlineStr">
        <is>
          <t>SI-Table2: ligand conformer populations at pH 7.4, mean of the trials</t>
        </is>
      </c>
    </row>
    <row r="2">
      <c r="A2" s="5" t="inlineStr">
        <is>
          <t>One row per conformer type (protonation / tautomer state); the rotamers of a type are summed within each trial, then averaged. ± columns are SEM (SD/√n).</t>
        </is>
      </c>
    </row>
    <row r="3">
      <c r="A3" s="6" t="inlineStr">
        <is>
          <t>RT (kcal/mol)</t>
        </is>
      </c>
      <c r="B3" s="11" t="n">
        <v>0.5925</v>
      </c>
      <c r="D3" s="5" t="inlineStr">
        <is>
          <t>energy: published values (SI.3.Conf) ; Boltzmann = exp(-energy/RT) ; Stat Mech = Boltzmann / ΣBoltzmann</t>
        </is>
      </c>
    </row>
    <row r="4">
      <c r="A4" s="5" t="inlineStr">
        <is>
          <t>conformer energies: /data/home/granepura/MCCE4/extra.tpl</t>
        </is>
      </c>
    </row>
    <row r="5">
      <c r="A5" s="1" t="inlineStr"/>
      <c r="B5" s="1" t="inlineStr"/>
      <c r="C5" s="1" t="inlineStr"/>
      <c r="D5" s="1" t="inlineStr"/>
      <c r="E5" s="1" t="inlineStr"/>
      <c r="F5" s="1" t="inlineStr"/>
      <c r="G5" s="1" t="inlineStr">
        <is>
          <t>from P(i) soln</t>
        </is>
      </c>
      <c r="J5" s="1" t="inlineStr">
        <is>
          <t>P(i) soln</t>
        </is>
      </c>
      <c r="L5" s="1" t="inlineStr">
        <is>
          <t>P(i) bound</t>
        </is>
      </c>
    </row>
    <row r="6">
      <c r="A6" s="2" t="inlineStr">
        <is>
          <t>PDBID</t>
        </is>
      </c>
      <c r="B6" s="2" t="inlineStr">
        <is>
          <t>Ligand</t>
        </is>
      </c>
      <c r="C6" s="2" t="inlineStr">
        <is>
          <t>conformer</t>
        </is>
      </c>
      <c r="D6" s="2" t="inlineStr">
        <is>
          <t>protonated atoms</t>
        </is>
      </c>
      <c r="E6" s="2" t="inlineStr">
        <is>
          <t>MCCE Conf Name</t>
        </is>
      </c>
      <c r="F6" s="2" t="inlineStr">
        <is>
          <t>charge</t>
        </is>
      </c>
      <c r="G6" s="2" t="inlineStr">
        <is>
          <t>energy</t>
        </is>
      </c>
      <c r="H6" s="2" t="inlineStr">
        <is>
          <t>Boltzmann Factor</t>
        </is>
      </c>
      <c r="I6" s="2" t="inlineStr">
        <is>
          <t>Stat Mech</t>
        </is>
      </c>
      <c r="J6" s="2" t="inlineStr">
        <is>
          <t>mean</t>
        </is>
      </c>
      <c r="K6" s="2" t="inlineStr">
        <is>
          <t>± SEM</t>
        </is>
      </c>
      <c r="L6" s="2" t="inlineStr">
        <is>
          <t>mean</t>
        </is>
      </c>
      <c r="M6" s="2" t="inlineStr">
        <is>
          <t>± SEM</t>
        </is>
      </c>
    </row>
    <row r="7">
      <c r="A7" s="7" t="n"/>
      <c r="B7" s="8" t="inlineStr">
        <is>
          <t>ABL: Tyrosine Protein Kinase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</row>
    <row r="8">
      <c r="A8" s="3" t="inlineStr">
        <is>
          <t>3UE4</t>
        </is>
      </c>
      <c r="B8" s="3" t="inlineStr">
        <is>
          <t>Bosutinib</t>
        </is>
      </c>
      <c r="C8" s="3" t="inlineStr">
        <is>
          <t>DB8+1a</t>
        </is>
      </c>
      <c r="D8" s="3" t="inlineStr">
        <is>
          <t>NAU, NBI</t>
        </is>
      </c>
      <c r="E8" s="3" t="inlineStr">
        <is>
          <t>DB8+1</t>
        </is>
      </c>
      <c r="F8" s="10">
        <f>'Per-Trial Conf'!$E52</f>
        <v/>
      </c>
      <c r="G8" s="10" t="n">
        <v>0.07099999999999999</v>
      </c>
      <c r="H8" s="10">
        <f>IF(G8="","",EXP(-G8/$B$3))</f>
        <v/>
      </c>
      <c r="I8" s="10">
        <f>IF(H8="","",H8/SUM(H$8:H$11))</f>
        <v/>
      </c>
      <c r="J8" s="10">
        <f>AVERAGE('Per-Trial Conf'!$F52:$H52)</f>
        <v/>
      </c>
      <c r="K8" s="10">
        <f>IF(COUNT('Per-Trial Conf'!$F52:$H52)&gt;1,STDEV('Per-Trial Conf'!$F52:$H52)/SQRT(COUNT('Per-Trial Conf'!$F52:$H52)),0)</f>
        <v/>
      </c>
      <c r="L8" s="10">
        <f>AVERAGE('Per-Trial Conf'!$I52:$K52)</f>
        <v/>
      </c>
      <c r="M8" s="10">
        <f>IF(COUNT('Per-Trial Conf'!$I52:$K52)&gt;1,STDEV('Per-Trial Conf'!$I52:$K52)/SQRT(COUNT('Per-Trial Conf'!$I52:$K52)),0)</f>
        <v/>
      </c>
    </row>
    <row r="9">
      <c r="A9" s="3" t="inlineStr">
        <is>
          <t>3UE4</t>
        </is>
      </c>
      <c r="B9" s="3" t="inlineStr">
        <is>
          <t>Bosutinib</t>
        </is>
      </c>
      <c r="C9" s="3" t="inlineStr">
        <is>
          <t>DB8+1b</t>
        </is>
      </c>
      <c r="D9" s="3" t="inlineStr">
        <is>
          <t>NAU, NBH</t>
        </is>
      </c>
      <c r="E9" s="3" t="inlineStr">
        <is>
          <t>DB8+2</t>
        </is>
      </c>
      <c r="F9" s="10">
        <f>'Per-Trial Conf'!$E53</f>
        <v/>
      </c>
      <c r="G9" s="10" t="n">
        <v>1.695</v>
      </c>
      <c r="H9" s="10">
        <f>IF(G9="","",EXP(-G9/$B$3))</f>
        <v/>
      </c>
      <c r="I9" s="10">
        <f>IF(H9="","",H9/SUM(H$8:H$11))</f>
        <v/>
      </c>
      <c r="J9" s="10">
        <f>AVERAGE('Per-Trial Conf'!$F53:$H53)</f>
        <v/>
      </c>
      <c r="K9" s="10">
        <f>IF(COUNT('Per-Trial Conf'!$F53:$H53)&gt;1,STDEV('Per-Trial Conf'!$F53:$H53)/SQRT(COUNT('Per-Trial Conf'!$F53:$H53)),0)</f>
        <v/>
      </c>
      <c r="L9" s="10">
        <f>AVERAGE('Per-Trial Conf'!$I53:$K53)</f>
        <v/>
      </c>
      <c r="M9" s="10">
        <f>IF(COUNT('Per-Trial Conf'!$I53:$K53)&gt;1,STDEV('Per-Trial Conf'!$I53:$K53)/SQRT(COUNT('Per-Trial Conf'!$I53:$K53)),0)</f>
        <v/>
      </c>
    </row>
    <row r="10">
      <c r="A10" s="3" t="inlineStr">
        <is>
          <t>3UE4</t>
        </is>
      </c>
      <c r="B10" s="3" t="inlineStr">
        <is>
          <t>Bosutinib</t>
        </is>
      </c>
      <c r="C10" s="3" t="inlineStr">
        <is>
          <t>DB8 0a</t>
        </is>
      </c>
      <c r="D10" s="3" t="inlineStr">
        <is>
          <t>NAU</t>
        </is>
      </c>
      <c r="E10" s="3" t="inlineStr">
        <is>
          <t>DB801</t>
        </is>
      </c>
      <c r="F10" s="10">
        <f>'Per-Trial Conf'!$E54</f>
        <v/>
      </c>
      <c r="G10" s="10" t="n">
        <v>1.715</v>
      </c>
      <c r="H10" s="10">
        <f>IF(G10="","",EXP(-G10/$B$3))</f>
        <v/>
      </c>
      <c r="I10" s="10">
        <f>IF(H10="","",H10/SUM(H$8:H$11))</f>
        <v/>
      </c>
      <c r="J10" s="10">
        <f>AVERAGE('Per-Trial Conf'!$F54:$H54)</f>
        <v/>
      </c>
      <c r="K10" s="10">
        <f>IF(COUNT('Per-Trial Conf'!$F54:$H54)&gt;1,STDEV('Per-Trial Conf'!$F54:$H54)/SQRT(COUNT('Per-Trial Conf'!$F54:$H54)),0)</f>
        <v/>
      </c>
      <c r="L10" s="10">
        <f>AVERAGE('Per-Trial Conf'!$I54:$K54)</f>
        <v/>
      </c>
      <c r="M10" s="10">
        <f>IF(COUNT('Per-Trial Conf'!$I54:$K54)&gt;1,STDEV('Per-Trial Conf'!$I54:$K54)/SQRT(COUNT('Per-Trial Conf'!$I54:$K54)),0)</f>
        <v/>
      </c>
    </row>
    <row r="11">
      <c r="A11" s="3" t="inlineStr">
        <is>
          <t>3UE4</t>
        </is>
      </c>
      <c r="B11" s="3" t="inlineStr">
        <is>
          <t>Bosutinib</t>
        </is>
      </c>
      <c r="C11" s="3" t="inlineStr">
        <is>
          <t>DB8 0b</t>
        </is>
      </c>
      <c r="D11" s="3" t="inlineStr">
        <is>
          <t>NAU, NBI</t>
        </is>
      </c>
      <c r="E11" s="3" t="inlineStr">
        <is>
          <t>DB802</t>
        </is>
      </c>
      <c r="F11" s="10">
        <f>'Per-Trial Conf'!$E55</f>
        <v/>
      </c>
      <c r="G11" s="10" t="n">
        <v>5.065</v>
      </c>
      <c r="H11" s="10">
        <f>IF(G11="","",EXP(-G11/$B$3))</f>
        <v/>
      </c>
      <c r="I11" s="10">
        <f>IF(H11="","",H11/SUM(H$8:H$11))</f>
        <v/>
      </c>
      <c r="J11" s="10">
        <f>AVERAGE('Per-Trial Conf'!$F55:$H55)</f>
        <v/>
      </c>
      <c r="K11" s="10">
        <f>IF(COUNT('Per-Trial Conf'!$F55:$H55)&gt;1,STDEV('Per-Trial Conf'!$F55:$H55)/SQRT(COUNT('Per-Trial Conf'!$F55:$H55)),0)</f>
        <v/>
      </c>
      <c r="L11" s="10">
        <f>AVERAGE('Per-Trial Conf'!$I55:$K55)</f>
        <v/>
      </c>
      <c r="M11" s="10">
        <f>IF(COUNT('Per-Trial Conf'!$I55:$K55)&gt;1,STDEV('Per-Trial Conf'!$I55:$K55)/SQRT(COUNT('Per-Trial Conf'!$I55:$K55)),0)</f>
        <v/>
      </c>
    </row>
    <row r="12">
      <c r="A12" s="6" t="n"/>
      <c r="B12" s="6" t="n"/>
      <c r="C12" s="6" t="n"/>
      <c r="D12" s="6" t="n"/>
      <c r="E12" s="6" t="inlineStr">
        <is>
          <t>SUM</t>
        </is>
      </c>
      <c r="F12" s="12" t="n"/>
      <c r="G12" s="12" t="n"/>
      <c r="H12" s="12">
        <f>SUM(H8:H11)</f>
        <v/>
      </c>
      <c r="I12" s="12">
        <f>SUM(I8:I11)</f>
        <v/>
      </c>
      <c r="J12" s="12">
        <f>SUM(J8:J11)</f>
        <v/>
      </c>
      <c r="K12" s="12" t="n"/>
      <c r="L12" s="12">
        <f>SUM(L8:L11)</f>
        <v/>
      </c>
      <c r="M12" s="12" t="n"/>
    </row>
    <row r="13">
      <c r="A13" s="6" t="n"/>
      <c r="B13" s="6" t="n"/>
      <c r="C13" s="6" t="n"/>
      <c r="D13" s="6" t="n"/>
      <c r="E13" s="6" t="inlineStr">
        <is>
          <t>ensemble charge</t>
        </is>
      </c>
      <c r="F13" s="12" t="n"/>
      <c r="G13" s="12" t="n"/>
      <c r="H13" s="12" t="n"/>
      <c r="I13" s="12">
        <f>SUMPRODUCT($F8:$F11,I8:I11)</f>
        <v/>
      </c>
      <c r="J13" s="12">
        <f>SUMPRODUCT($F8:$F11,J8:J11)</f>
        <v/>
      </c>
      <c r="K13" s="12" t="n"/>
      <c r="L13" s="12">
        <f>SUMPRODUCT($F8:$F11,L8:L11)</f>
        <v/>
      </c>
      <c r="M13" s="12" t="n"/>
    </row>
    <row r="15">
      <c r="A15" s="3" t="inlineStr">
        <is>
          <t>2HYY</t>
        </is>
      </c>
      <c r="B15" s="3" t="inlineStr">
        <is>
          <t>Imatinib</t>
        </is>
      </c>
      <c r="C15" s="3" t="inlineStr">
        <is>
          <t>STI+1a</t>
        </is>
      </c>
      <c r="D15" s="3" t="inlineStr">
        <is>
          <t>N13, N21, N48</t>
        </is>
      </c>
      <c r="E15" s="3" t="inlineStr">
        <is>
          <t>STI+1</t>
        </is>
      </c>
      <c r="F15" s="10">
        <f>'Per-Trial Conf'!$E8</f>
        <v/>
      </c>
      <c r="G15" s="10" t="n">
        <v>0.316</v>
      </c>
      <c r="H15" s="10">
        <f>IF(G15="","",EXP(-G15/$B$3))</f>
        <v/>
      </c>
      <c r="I15" s="10">
        <f>IF(H15="","",H15/SUM(H$15:H$19))</f>
        <v/>
      </c>
      <c r="J15" s="10">
        <f>AVERAGE('Per-Trial Conf'!$F8:$H8)</f>
        <v/>
      </c>
      <c r="K15" s="10">
        <f>IF(COUNT('Per-Trial Conf'!$F8:$H8)&gt;1,STDEV('Per-Trial Conf'!$F8:$H8)/SQRT(COUNT('Per-Trial Conf'!$F8:$H8)),0)</f>
        <v/>
      </c>
      <c r="L15" s="10">
        <f>AVERAGE('Per-Trial Conf'!$I8:$K8)</f>
        <v/>
      </c>
      <c r="M15" s="10">
        <f>IF(COUNT('Per-Trial Conf'!$I8:$K8)&gt;1,STDEV('Per-Trial Conf'!$I8:$K8)/SQRT(COUNT('Per-Trial Conf'!$I8:$K8)),0)</f>
        <v/>
      </c>
    </row>
    <row r="16">
      <c r="A16" s="3" t="inlineStr">
        <is>
          <t>2HYY</t>
        </is>
      </c>
      <c r="B16" s="3" t="inlineStr">
        <is>
          <t>Imatinib</t>
        </is>
      </c>
      <c r="C16" s="3" t="inlineStr">
        <is>
          <t>STI+1b</t>
        </is>
      </c>
      <c r="D16" s="3" t="inlineStr">
        <is>
          <t>N13, N21, N51</t>
        </is>
      </c>
      <c r="E16" s="3" t="inlineStr">
        <is>
          <t>STI+2</t>
        </is>
      </c>
      <c r="F16" s="10">
        <f>'Per-Trial Conf'!$E9</f>
        <v/>
      </c>
      <c r="G16" s="10" t="n">
        <v>0.573</v>
      </c>
      <c r="H16" s="10">
        <f>IF(G16="","",EXP(-G16/$B$3))</f>
        <v/>
      </c>
      <c r="I16" s="10">
        <f>IF(H16="","",H16/SUM(H$15:H$19))</f>
        <v/>
      </c>
      <c r="J16" s="10">
        <f>AVERAGE('Per-Trial Conf'!$F9:$H9)</f>
        <v/>
      </c>
      <c r="K16" s="10">
        <f>IF(COUNT('Per-Trial Conf'!$F9:$H9)&gt;1,STDEV('Per-Trial Conf'!$F9:$H9)/SQRT(COUNT('Per-Trial Conf'!$F9:$H9)),0)</f>
        <v/>
      </c>
      <c r="L16" s="10">
        <f>AVERAGE('Per-Trial Conf'!$I9:$K9)</f>
        <v/>
      </c>
      <c r="M16" s="10">
        <f>IF(COUNT('Per-Trial Conf'!$I9:$K9)&gt;1,STDEV('Per-Trial Conf'!$I9:$K9)/SQRT(COUNT('Per-Trial Conf'!$I9:$K9)),0)</f>
        <v/>
      </c>
    </row>
    <row r="17">
      <c r="A17" s="3" t="inlineStr">
        <is>
          <t>2HYY</t>
        </is>
      </c>
      <c r="B17" s="3" t="inlineStr">
        <is>
          <t>Imatinib</t>
        </is>
      </c>
      <c r="C17" s="3" t="inlineStr">
        <is>
          <t>STI+2a</t>
        </is>
      </c>
      <c r="D17" s="3" t="inlineStr">
        <is>
          <t>N13, N21, N3, N48</t>
        </is>
      </c>
      <c r="E17" s="3" t="inlineStr">
        <is>
          <t>STI+a</t>
        </is>
      </c>
      <c r="F17" s="10">
        <f>'Per-Trial Conf'!$E10</f>
        <v/>
      </c>
      <c r="G17" s="10" t="n">
        <v>5.43</v>
      </c>
      <c r="H17" s="10">
        <f>IF(G17="","",EXP(-G17/$B$3))</f>
        <v/>
      </c>
      <c r="I17" s="10">
        <f>IF(H17="","",H17/SUM(H$15:H$19))</f>
        <v/>
      </c>
      <c r="J17" s="10">
        <f>AVERAGE('Per-Trial Conf'!$F10:$H10)</f>
        <v/>
      </c>
      <c r="K17" s="10">
        <f>IF(COUNT('Per-Trial Conf'!$F10:$H10)&gt;1,STDEV('Per-Trial Conf'!$F10:$H10)/SQRT(COUNT('Per-Trial Conf'!$F10:$H10)),0)</f>
        <v/>
      </c>
      <c r="L17" s="10">
        <f>AVERAGE('Per-Trial Conf'!$I10:$K10)</f>
        <v/>
      </c>
      <c r="M17" s="10">
        <f>IF(COUNT('Per-Trial Conf'!$I10:$K10)&gt;1,STDEV('Per-Trial Conf'!$I10:$K10)/SQRT(COUNT('Per-Trial Conf'!$I10:$K10)),0)</f>
        <v/>
      </c>
    </row>
    <row r="18">
      <c r="A18" s="3" t="inlineStr">
        <is>
          <t>2HYY</t>
        </is>
      </c>
      <c r="B18" s="3" t="inlineStr">
        <is>
          <t>Imatinib</t>
        </is>
      </c>
      <c r="C18" s="3" t="inlineStr">
        <is>
          <t>STI+2b</t>
        </is>
      </c>
      <c r="D18" s="3" t="inlineStr">
        <is>
          <t>N13, N21, N3, N51</t>
        </is>
      </c>
      <c r="E18" s="3" t="inlineStr">
        <is>
          <t>STI+b</t>
        </is>
      </c>
      <c r="F18" s="10">
        <f>'Per-Trial Conf'!$E11</f>
        <v/>
      </c>
      <c r="G18" s="10" t="n">
        <v>5.687</v>
      </c>
      <c r="H18" s="10">
        <f>IF(G18="","",EXP(-G18/$B$3))</f>
        <v/>
      </c>
      <c r="I18" s="10">
        <f>IF(H18="","",H18/SUM(H$15:H$19))</f>
        <v/>
      </c>
      <c r="J18" s="10">
        <f>AVERAGE('Per-Trial Conf'!$F11:$H11)</f>
        <v/>
      </c>
      <c r="K18" s="10">
        <f>IF(COUNT('Per-Trial Conf'!$F11:$H11)&gt;1,STDEV('Per-Trial Conf'!$F11:$H11)/SQRT(COUNT('Per-Trial Conf'!$F11:$H11)),0)</f>
        <v/>
      </c>
      <c r="L18" s="10">
        <f>AVERAGE('Per-Trial Conf'!$I11:$K11)</f>
        <v/>
      </c>
      <c r="M18" s="10">
        <f>IF(COUNT('Per-Trial Conf'!$I11:$K11)&gt;1,STDEV('Per-Trial Conf'!$I11:$K11)/SQRT(COUNT('Per-Trial Conf'!$I11:$K11)),0)</f>
        <v/>
      </c>
    </row>
    <row r="19">
      <c r="A19" s="3" t="inlineStr">
        <is>
          <t>2HYY</t>
        </is>
      </c>
      <c r="B19" s="3" t="inlineStr">
        <is>
          <t>Imatinib</t>
        </is>
      </c>
      <c r="C19" s="3" t="inlineStr">
        <is>
          <t>STI 0</t>
        </is>
      </c>
      <c r="D19" s="3" t="inlineStr">
        <is>
          <t>N13, N21</t>
        </is>
      </c>
      <c r="E19" s="3" t="inlineStr">
        <is>
          <t>STI01</t>
        </is>
      </c>
      <c r="F19" s="10">
        <f>'Per-Trial Conf'!$E12</f>
        <v/>
      </c>
      <c r="G19" s="10" t="n">
        <v>2.031</v>
      </c>
      <c r="H19" s="10">
        <f>IF(G19="","",EXP(-G19/$B$3))</f>
        <v/>
      </c>
      <c r="I19" s="10">
        <f>IF(H19="","",H19/SUM(H$15:H$19))</f>
        <v/>
      </c>
      <c r="J19" s="10">
        <f>AVERAGE('Per-Trial Conf'!$F12:$H12)</f>
        <v/>
      </c>
      <c r="K19" s="10">
        <f>IF(COUNT('Per-Trial Conf'!$F12:$H12)&gt;1,STDEV('Per-Trial Conf'!$F12:$H12)/SQRT(COUNT('Per-Trial Conf'!$F12:$H12)),0)</f>
        <v/>
      </c>
      <c r="L19" s="10">
        <f>AVERAGE('Per-Trial Conf'!$I12:$K12)</f>
        <v/>
      </c>
      <c r="M19" s="10">
        <f>IF(COUNT('Per-Trial Conf'!$I12:$K12)&gt;1,STDEV('Per-Trial Conf'!$I12:$K12)/SQRT(COUNT('Per-Trial Conf'!$I12:$K12)),0)</f>
        <v/>
      </c>
    </row>
    <row r="20">
      <c r="A20" s="6" t="n"/>
      <c r="B20" s="6" t="n"/>
      <c r="C20" s="6" t="n"/>
      <c r="D20" s="6" t="n"/>
      <c r="E20" s="6" t="inlineStr">
        <is>
          <t>SUM</t>
        </is>
      </c>
      <c r="F20" s="12" t="n"/>
      <c r="G20" s="12" t="n"/>
      <c r="H20" s="12">
        <f>SUM(H15:H19)</f>
        <v/>
      </c>
      <c r="I20" s="12">
        <f>SUM(I15:I19)</f>
        <v/>
      </c>
      <c r="J20" s="12">
        <f>SUM(J15:J19)</f>
        <v/>
      </c>
      <c r="K20" s="12" t="n"/>
      <c r="L20" s="12">
        <f>SUM(L15:L19)</f>
        <v/>
      </c>
      <c r="M20" s="12" t="n"/>
    </row>
    <row r="21">
      <c r="A21" s="6" t="n"/>
      <c r="B21" s="6" t="n"/>
      <c r="C21" s="6" t="n"/>
      <c r="D21" s="6" t="n"/>
      <c r="E21" s="6" t="inlineStr">
        <is>
          <t>ensemble charge</t>
        </is>
      </c>
      <c r="F21" s="12" t="n"/>
      <c r="G21" s="12" t="n"/>
      <c r="H21" s="12" t="n"/>
      <c r="I21" s="12">
        <f>SUMPRODUCT($F15:$F19,I15:I19)</f>
        <v/>
      </c>
      <c r="J21" s="12">
        <f>SUMPRODUCT($F15:$F19,J15:J19)</f>
        <v/>
      </c>
      <c r="K21" s="12" t="n"/>
      <c r="L21" s="12">
        <f>SUMPRODUCT($F15:$F19,L15:L19)</f>
        <v/>
      </c>
      <c r="M21" s="12" t="n"/>
    </row>
    <row r="23">
      <c r="A23" s="3" t="inlineStr">
        <is>
          <t>3PYY</t>
        </is>
      </c>
      <c r="B23" s="3" t="inlineStr">
        <is>
          <t>Imatinib</t>
        </is>
      </c>
      <c r="C23" s="3" t="inlineStr">
        <is>
          <t>STI+1a</t>
        </is>
      </c>
      <c r="D23" s="3" t="inlineStr">
        <is>
          <t>N13, N21, N48</t>
        </is>
      </c>
      <c r="E23" s="3" t="inlineStr">
        <is>
          <t>STI+1</t>
        </is>
      </c>
      <c r="F23" s="10">
        <f>'Per-Trial Conf'!$E47</f>
        <v/>
      </c>
      <c r="G23" s="10" t="n">
        <v>0.316</v>
      </c>
      <c r="H23" s="10">
        <f>IF(G23="","",EXP(-G23/$B$3))</f>
        <v/>
      </c>
      <c r="I23" s="10">
        <f>IF(H23="","",H23/SUM(H$23:H$27))</f>
        <v/>
      </c>
      <c r="J23" s="10">
        <f>AVERAGE('Per-Trial Conf'!$F47:$H47)</f>
        <v/>
      </c>
      <c r="K23" s="10">
        <f>IF(COUNT('Per-Trial Conf'!$F47:$H47)&gt;1,STDEV('Per-Trial Conf'!$F47:$H47)/SQRT(COUNT('Per-Trial Conf'!$F47:$H47)),0)</f>
        <v/>
      </c>
      <c r="L23" s="10">
        <f>AVERAGE('Per-Trial Conf'!$I47:$K47)</f>
        <v/>
      </c>
      <c r="M23" s="10">
        <f>IF(COUNT('Per-Trial Conf'!$I47:$K47)&gt;1,STDEV('Per-Trial Conf'!$I47:$K47)/SQRT(COUNT('Per-Trial Conf'!$I47:$K47)),0)</f>
        <v/>
      </c>
    </row>
    <row r="24">
      <c r="A24" s="3" t="inlineStr">
        <is>
          <t>3PYY</t>
        </is>
      </c>
      <c r="B24" s="3" t="inlineStr">
        <is>
          <t>Imatinib</t>
        </is>
      </c>
      <c r="C24" s="3" t="inlineStr">
        <is>
          <t>STI+1b</t>
        </is>
      </c>
      <c r="D24" s="3" t="inlineStr">
        <is>
          <t>N13, N21, N51</t>
        </is>
      </c>
      <c r="E24" s="3" t="inlineStr">
        <is>
          <t>STI+2</t>
        </is>
      </c>
      <c r="F24" s="10">
        <f>'Per-Trial Conf'!$E48</f>
        <v/>
      </c>
      <c r="G24" s="10" t="n">
        <v>0.573</v>
      </c>
      <c r="H24" s="10">
        <f>IF(G24="","",EXP(-G24/$B$3))</f>
        <v/>
      </c>
      <c r="I24" s="10">
        <f>IF(H24="","",H24/SUM(H$23:H$27))</f>
        <v/>
      </c>
      <c r="J24" s="10">
        <f>AVERAGE('Per-Trial Conf'!$F48:$H48)</f>
        <v/>
      </c>
      <c r="K24" s="10">
        <f>IF(COUNT('Per-Trial Conf'!$F48:$H48)&gt;1,STDEV('Per-Trial Conf'!$F48:$H48)/SQRT(COUNT('Per-Trial Conf'!$F48:$H48)),0)</f>
        <v/>
      </c>
      <c r="L24" s="10">
        <f>AVERAGE('Per-Trial Conf'!$I48:$K48)</f>
        <v/>
      </c>
      <c r="M24" s="10">
        <f>IF(COUNT('Per-Trial Conf'!$I48:$K48)&gt;1,STDEV('Per-Trial Conf'!$I48:$K48)/SQRT(COUNT('Per-Trial Conf'!$I48:$K48)),0)</f>
        <v/>
      </c>
    </row>
    <row r="25">
      <c r="A25" s="3" t="inlineStr">
        <is>
          <t>3PYY</t>
        </is>
      </c>
      <c r="B25" s="3" t="inlineStr">
        <is>
          <t>Imatinib</t>
        </is>
      </c>
      <c r="C25" s="3" t="inlineStr">
        <is>
          <t>STI+2a</t>
        </is>
      </c>
      <c r="D25" s="3" t="inlineStr">
        <is>
          <t>N13, N21, N3, N48</t>
        </is>
      </c>
      <c r="E25" s="3" t="inlineStr">
        <is>
          <t>STI+a</t>
        </is>
      </c>
      <c r="F25" s="10">
        <f>'Per-Trial Conf'!$E49</f>
        <v/>
      </c>
      <c r="G25" s="10" t="n">
        <v>5.43</v>
      </c>
      <c r="H25" s="10">
        <f>IF(G25="","",EXP(-G25/$B$3))</f>
        <v/>
      </c>
      <c r="I25" s="10">
        <f>IF(H25="","",H25/SUM(H$23:H$27))</f>
        <v/>
      </c>
      <c r="J25" s="10">
        <f>AVERAGE('Per-Trial Conf'!$F49:$H49)</f>
        <v/>
      </c>
      <c r="K25" s="10">
        <f>IF(COUNT('Per-Trial Conf'!$F49:$H49)&gt;1,STDEV('Per-Trial Conf'!$F49:$H49)/SQRT(COUNT('Per-Trial Conf'!$F49:$H49)),0)</f>
        <v/>
      </c>
      <c r="L25" s="10">
        <f>AVERAGE('Per-Trial Conf'!$I49:$K49)</f>
        <v/>
      </c>
      <c r="M25" s="10">
        <f>IF(COUNT('Per-Trial Conf'!$I49:$K49)&gt;1,STDEV('Per-Trial Conf'!$I49:$K49)/SQRT(COUNT('Per-Trial Conf'!$I49:$K49)),0)</f>
        <v/>
      </c>
    </row>
    <row r="26">
      <c r="A26" s="3" t="inlineStr">
        <is>
          <t>3PYY</t>
        </is>
      </c>
      <c r="B26" s="3" t="inlineStr">
        <is>
          <t>Imatinib</t>
        </is>
      </c>
      <c r="C26" s="3" t="inlineStr">
        <is>
          <t>STI+2b</t>
        </is>
      </c>
      <c r="D26" s="3" t="inlineStr">
        <is>
          <t>N13, N21, N3, N51</t>
        </is>
      </c>
      <c r="E26" s="3" t="inlineStr">
        <is>
          <t>STI+b</t>
        </is>
      </c>
      <c r="F26" s="10">
        <f>'Per-Trial Conf'!$E50</f>
        <v/>
      </c>
      <c r="G26" s="10" t="n">
        <v>5.687</v>
      </c>
      <c r="H26" s="10">
        <f>IF(G26="","",EXP(-G26/$B$3))</f>
        <v/>
      </c>
      <c r="I26" s="10">
        <f>IF(H26="","",H26/SUM(H$23:H$27))</f>
        <v/>
      </c>
      <c r="J26" s="10">
        <f>AVERAGE('Per-Trial Conf'!$F50:$H50)</f>
        <v/>
      </c>
      <c r="K26" s="10">
        <f>IF(COUNT('Per-Trial Conf'!$F50:$H50)&gt;1,STDEV('Per-Trial Conf'!$F50:$H50)/SQRT(COUNT('Per-Trial Conf'!$F50:$H50)),0)</f>
        <v/>
      </c>
      <c r="L26" s="10">
        <f>AVERAGE('Per-Trial Conf'!$I50:$K50)</f>
        <v/>
      </c>
      <c r="M26" s="10">
        <f>IF(COUNT('Per-Trial Conf'!$I50:$K50)&gt;1,STDEV('Per-Trial Conf'!$I50:$K50)/SQRT(COUNT('Per-Trial Conf'!$I50:$K50)),0)</f>
        <v/>
      </c>
    </row>
    <row r="27">
      <c r="A27" s="3" t="inlineStr">
        <is>
          <t>3PYY</t>
        </is>
      </c>
      <c r="B27" s="3" t="inlineStr">
        <is>
          <t>Imatinib</t>
        </is>
      </c>
      <c r="C27" s="3" t="inlineStr">
        <is>
          <t>STI 0</t>
        </is>
      </c>
      <c r="D27" s="3" t="inlineStr">
        <is>
          <t>N13, N21</t>
        </is>
      </c>
      <c r="E27" s="3" t="inlineStr">
        <is>
          <t>STI01</t>
        </is>
      </c>
      <c r="F27" s="10">
        <f>'Per-Trial Conf'!$E51</f>
        <v/>
      </c>
      <c r="G27" s="10" t="n">
        <v>2.031</v>
      </c>
      <c r="H27" s="10">
        <f>IF(G27="","",EXP(-G27/$B$3))</f>
        <v/>
      </c>
      <c r="I27" s="10">
        <f>IF(H27="","",H27/SUM(H$23:H$27))</f>
        <v/>
      </c>
      <c r="J27" s="10">
        <f>AVERAGE('Per-Trial Conf'!$F51:$H51)</f>
        <v/>
      </c>
      <c r="K27" s="10">
        <f>IF(COUNT('Per-Trial Conf'!$F51:$H51)&gt;1,STDEV('Per-Trial Conf'!$F51:$H51)/SQRT(COUNT('Per-Trial Conf'!$F51:$H51)),0)</f>
        <v/>
      </c>
      <c r="L27" s="10">
        <f>AVERAGE('Per-Trial Conf'!$I51:$K51)</f>
        <v/>
      </c>
      <c r="M27" s="10">
        <f>IF(COUNT('Per-Trial Conf'!$I51:$K51)&gt;1,STDEV('Per-Trial Conf'!$I51:$K51)/SQRT(COUNT('Per-Trial Conf'!$I51:$K51)),0)</f>
        <v/>
      </c>
    </row>
    <row r="28">
      <c r="A28" s="6" t="n"/>
      <c r="B28" s="6" t="n"/>
      <c r="C28" s="6" t="n"/>
      <c r="D28" s="6" t="n"/>
      <c r="E28" s="6" t="inlineStr">
        <is>
          <t>SUM</t>
        </is>
      </c>
      <c r="F28" s="12" t="n"/>
      <c r="G28" s="12" t="n"/>
      <c r="H28" s="12">
        <f>SUM(H23:H27)</f>
        <v/>
      </c>
      <c r="I28" s="12">
        <f>SUM(I23:I27)</f>
        <v/>
      </c>
      <c r="J28" s="12">
        <f>SUM(J23:J27)</f>
        <v/>
      </c>
      <c r="K28" s="12" t="n"/>
      <c r="L28" s="12">
        <f>SUM(L23:L27)</f>
        <v/>
      </c>
      <c r="M28" s="12" t="n"/>
    </row>
    <row r="29">
      <c r="A29" s="6" t="n"/>
      <c r="B29" s="6" t="n"/>
      <c r="C29" s="6" t="n"/>
      <c r="D29" s="6" t="n"/>
      <c r="E29" s="6" t="inlineStr">
        <is>
          <t>ensemble charge</t>
        </is>
      </c>
      <c r="F29" s="12" t="n"/>
      <c r="G29" s="12" t="n"/>
      <c r="H29" s="12" t="n"/>
      <c r="I29" s="12">
        <f>SUMPRODUCT($F23:$F27,I23:I27)</f>
        <v/>
      </c>
      <c r="J29" s="12">
        <f>SUMPRODUCT($F23:$F27,J23:J27)</f>
        <v/>
      </c>
      <c r="K29" s="12" t="n"/>
      <c r="L29" s="12">
        <f>SUMPRODUCT($F23:$F27,L23:L27)</f>
        <v/>
      </c>
      <c r="M29" s="12" t="n"/>
    </row>
    <row r="31">
      <c r="A31" s="3" t="inlineStr">
        <is>
          <t>3CS9</t>
        </is>
      </c>
      <c r="B31" s="3" t="inlineStr">
        <is>
          <t>Nilotinib</t>
        </is>
      </c>
      <c r="C31" s="3" t="inlineStr">
        <is>
          <t>NIL+1a</t>
        </is>
      </c>
      <c r="D31" s="3" t="inlineStr">
        <is>
          <t>N14, N31, N54</t>
        </is>
      </c>
      <c r="E31" s="3" t="inlineStr">
        <is>
          <t>NIL+1</t>
        </is>
      </c>
      <c r="F31" s="10">
        <f>'Per-Trial Conf'!$E42</f>
        <v/>
      </c>
      <c r="G31" s="10" t="n">
        <v>1.404</v>
      </c>
      <c r="H31" s="10">
        <f>IF(G31="","",EXP(-G31/$B$3))</f>
        <v/>
      </c>
      <c r="I31" s="10">
        <f>IF(H31="","",H31/SUM(H$31:H$33))</f>
        <v/>
      </c>
      <c r="J31" s="10">
        <f>AVERAGE('Per-Trial Conf'!$F42:$H42)</f>
        <v/>
      </c>
      <c r="K31" s="10">
        <f>IF(COUNT('Per-Trial Conf'!$F42:$H42)&gt;1,STDEV('Per-Trial Conf'!$F42:$H42)/SQRT(COUNT('Per-Trial Conf'!$F42:$H42)),0)</f>
        <v/>
      </c>
      <c r="L31" s="10">
        <f>AVERAGE('Per-Trial Conf'!$I42:$K42)</f>
        <v/>
      </c>
      <c r="M31" s="10">
        <f>IF(COUNT('Per-Trial Conf'!$I42:$K42)&gt;1,STDEV('Per-Trial Conf'!$I42:$K42)/SQRT(COUNT('Per-Trial Conf'!$I42:$K42)),0)</f>
        <v/>
      </c>
    </row>
    <row r="32">
      <c r="A32" s="3" t="inlineStr">
        <is>
          <t>3CS9</t>
        </is>
      </c>
      <c r="B32" s="3" t="inlineStr">
        <is>
          <t>Nilotinib</t>
        </is>
      </c>
      <c r="C32" s="3" t="inlineStr">
        <is>
          <t>NIL+1b</t>
        </is>
      </c>
      <c r="D32" s="3" t="inlineStr">
        <is>
          <t>N14, N31, N44</t>
        </is>
      </c>
      <c r="E32" s="3" t="inlineStr">
        <is>
          <t>NIL+2</t>
        </is>
      </c>
      <c r="F32" s="10">
        <f>'Per-Trial Conf'!$E43</f>
        <v/>
      </c>
      <c r="G32" s="10" t="n">
        <v>5.173</v>
      </c>
      <c r="H32" s="10">
        <f>IF(G32="","",EXP(-G32/$B$3))</f>
        <v/>
      </c>
      <c r="I32" s="10">
        <f>IF(H32="","",H32/SUM(H$31:H$33))</f>
        <v/>
      </c>
      <c r="J32" s="10">
        <f>AVERAGE('Per-Trial Conf'!$F43:$H43)</f>
        <v/>
      </c>
      <c r="K32" s="10">
        <f>IF(COUNT('Per-Trial Conf'!$F43:$H43)&gt;1,STDEV('Per-Trial Conf'!$F43:$H43)/SQRT(COUNT('Per-Trial Conf'!$F43:$H43)),0)</f>
        <v/>
      </c>
      <c r="L32" s="10">
        <f>AVERAGE('Per-Trial Conf'!$I43:$K43)</f>
        <v/>
      </c>
      <c r="M32" s="10">
        <f>IF(COUNT('Per-Trial Conf'!$I43:$K43)&gt;1,STDEV('Per-Trial Conf'!$I43:$K43)/SQRT(COUNT('Per-Trial Conf'!$I43:$K43)),0)</f>
        <v/>
      </c>
    </row>
    <row r="33">
      <c r="A33" s="3" t="inlineStr">
        <is>
          <t>3CS9</t>
        </is>
      </c>
      <c r="B33" s="3" t="inlineStr">
        <is>
          <t>Nilotinib</t>
        </is>
      </c>
      <c r="C33" s="3" t="inlineStr">
        <is>
          <t>NIL 0</t>
        </is>
      </c>
      <c r="D33" s="3" t="inlineStr">
        <is>
          <t>N14, N31</t>
        </is>
      </c>
      <c r="E33" s="3" t="inlineStr">
        <is>
          <t>NIL01</t>
        </is>
      </c>
      <c r="F33" s="10">
        <f>'Per-Trial Conf'!$E44</f>
        <v/>
      </c>
      <c r="G33" s="10" t="n">
        <v>0.058</v>
      </c>
      <c r="H33" s="10">
        <f>IF(G33="","",EXP(-G33/$B$3))</f>
        <v/>
      </c>
      <c r="I33" s="10">
        <f>IF(H33="","",H33/SUM(H$31:H$33))</f>
        <v/>
      </c>
      <c r="J33" s="10">
        <f>AVERAGE('Per-Trial Conf'!$F44:$H44)</f>
        <v/>
      </c>
      <c r="K33" s="10">
        <f>IF(COUNT('Per-Trial Conf'!$F44:$H44)&gt;1,STDEV('Per-Trial Conf'!$F44:$H44)/SQRT(COUNT('Per-Trial Conf'!$F44:$H44)),0)</f>
        <v/>
      </c>
      <c r="L33" s="10">
        <f>AVERAGE('Per-Trial Conf'!$I44:$K44)</f>
        <v/>
      </c>
      <c r="M33" s="10">
        <f>IF(COUNT('Per-Trial Conf'!$I44:$K44)&gt;1,STDEV('Per-Trial Conf'!$I44:$K44)/SQRT(COUNT('Per-Trial Conf'!$I44:$K44)),0)</f>
        <v/>
      </c>
    </row>
    <row r="34">
      <c r="A34" s="6" t="n"/>
      <c r="B34" s="6" t="n"/>
      <c r="C34" s="6" t="n"/>
      <c r="D34" s="6" t="n"/>
      <c r="E34" s="6" t="inlineStr">
        <is>
          <t>SUM</t>
        </is>
      </c>
      <c r="F34" s="12" t="n"/>
      <c r="G34" s="12" t="n"/>
      <c r="H34" s="12">
        <f>SUM(H31:H33)</f>
        <v/>
      </c>
      <c r="I34" s="12">
        <f>SUM(I31:I33)</f>
        <v/>
      </c>
      <c r="J34" s="12">
        <f>SUM(J31:J33)</f>
        <v/>
      </c>
      <c r="K34" s="12" t="n"/>
      <c r="L34" s="12">
        <f>SUM(L31:L33)</f>
        <v/>
      </c>
      <c r="M34" s="12" t="n"/>
    </row>
    <row r="35">
      <c r="A35" s="6" t="n"/>
      <c r="B35" s="6" t="n"/>
      <c r="C35" s="6" t="n"/>
      <c r="D35" s="6" t="n"/>
      <c r="E35" s="6" t="inlineStr">
        <is>
          <t>ensemble charge</t>
        </is>
      </c>
      <c r="F35" s="12" t="n"/>
      <c r="G35" s="12" t="n"/>
      <c r="H35" s="12" t="n"/>
      <c r="I35" s="12">
        <f>SUMPRODUCT($F31:$F33,I31:I33)</f>
        <v/>
      </c>
      <c r="J35" s="12">
        <f>SUMPRODUCT($F31:$F33,J31:J33)</f>
        <v/>
      </c>
      <c r="K35" s="12" t="n"/>
      <c r="L35" s="12">
        <f>SUMPRODUCT($F31:$F33,L31:L33)</f>
        <v/>
      </c>
      <c r="M35" s="12" t="n"/>
    </row>
    <row r="37">
      <c r="A37" s="3" t="inlineStr">
        <is>
          <t>5MO4</t>
        </is>
      </c>
      <c r="B37" s="3" t="inlineStr">
        <is>
          <t>Nilotinib</t>
        </is>
      </c>
      <c r="C37" s="3" t="inlineStr">
        <is>
          <t>NIL+1a</t>
        </is>
      </c>
      <c r="D37" s="3" t="inlineStr">
        <is>
          <t>N14, N31, N54</t>
        </is>
      </c>
      <c r="E37" s="3" t="inlineStr">
        <is>
          <t>NIL+1</t>
        </is>
      </c>
      <c r="F37" s="10">
        <f>'Per-Trial Conf'!$E142</f>
        <v/>
      </c>
      <c r="G37" s="10" t="n">
        <v>1.404</v>
      </c>
      <c r="H37" s="10">
        <f>IF(G37="","",EXP(-G37/$B$3))</f>
        <v/>
      </c>
      <c r="I37" s="10">
        <f>IF(H37="","",H37/SUM(H$37:H$39))</f>
        <v/>
      </c>
      <c r="J37" s="10">
        <f>AVERAGE('Per-Trial Conf'!$F142:$H142)</f>
        <v/>
      </c>
      <c r="K37" s="10">
        <f>IF(COUNT('Per-Trial Conf'!$F142:$H142)&gt;1,STDEV('Per-Trial Conf'!$F142:$H142)/SQRT(COUNT('Per-Trial Conf'!$F142:$H142)),0)</f>
        <v/>
      </c>
      <c r="L37" s="10">
        <f>AVERAGE('Per-Trial Conf'!$I142:$K142)</f>
        <v/>
      </c>
      <c r="M37" s="10">
        <f>IF(COUNT('Per-Trial Conf'!$I142:$K142)&gt;1,STDEV('Per-Trial Conf'!$I142:$K142)/SQRT(COUNT('Per-Trial Conf'!$I142:$K142)),0)</f>
        <v/>
      </c>
    </row>
    <row r="38">
      <c r="A38" s="3" t="inlineStr">
        <is>
          <t>5MO4</t>
        </is>
      </c>
      <c r="B38" s="3" t="inlineStr">
        <is>
          <t>Nilotinib</t>
        </is>
      </c>
      <c r="C38" s="3" t="inlineStr">
        <is>
          <t>NIL+1b</t>
        </is>
      </c>
      <c r="D38" s="3" t="inlineStr">
        <is>
          <t>N14, N31, N44</t>
        </is>
      </c>
      <c r="E38" s="3" t="inlineStr">
        <is>
          <t>NIL+2</t>
        </is>
      </c>
      <c r="F38" s="10">
        <f>'Per-Trial Conf'!$E143</f>
        <v/>
      </c>
      <c r="G38" s="10" t="n">
        <v>5.173</v>
      </c>
      <c r="H38" s="10">
        <f>IF(G38="","",EXP(-G38/$B$3))</f>
        <v/>
      </c>
      <c r="I38" s="10">
        <f>IF(H38="","",H38/SUM(H$37:H$39))</f>
        <v/>
      </c>
      <c r="J38" s="10">
        <f>AVERAGE('Per-Trial Conf'!$F143:$H143)</f>
        <v/>
      </c>
      <c r="K38" s="10">
        <f>IF(COUNT('Per-Trial Conf'!$F143:$H143)&gt;1,STDEV('Per-Trial Conf'!$F143:$H143)/SQRT(COUNT('Per-Trial Conf'!$F143:$H143)),0)</f>
        <v/>
      </c>
      <c r="L38" s="10">
        <f>AVERAGE('Per-Trial Conf'!$I143:$K143)</f>
        <v/>
      </c>
      <c r="M38" s="10">
        <f>IF(COUNT('Per-Trial Conf'!$I143:$K143)&gt;1,STDEV('Per-Trial Conf'!$I143:$K143)/SQRT(COUNT('Per-Trial Conf'!$I143:$K143)),0)</f>
        <v/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NIL 0</t>
        </is>
      </c>
      <c r="D39" s="3" t="inlineStr">
        <is>
          <t>N14, N31</t>
        </is>
      </c>
      <c r="E39" s="3" t="inlineStr">
        <is>
          <t>NIL01</t>
        </is>
      </c>
      <c r="F39" s="10">
        <f>'Per-Trial Conf'!$E144</f>
        <v/>
      </c>
      <c r="G39" s="10" t="n">
        <v>0.058</v>
      </c>
      <c r="H39" s="10">
        <f>IF(G39="","",EXP(-G39/$B$3))</f>
        <v/>
      </c>
      <c r="I39" s="10">
        <f>IF(H39="","",H39/SUM(H$37:H$39))</f>
        <v/>
      </c>
      <c r="J39" s="10">
        <f>AVERAGE('Per-Trial Conf'!$F144:$H144)</f>
        <v/>
      </c>
      <c r="K39" s="10">
        <f>IF(COUNT('Per-Trial Conf'!$F144:$H144)&gt;1,STDEV('Per-Trial Conf'!$F144:$H144)/SQRT(COUNT('Per-Trial Conf'!$F144:$H144)),0)</f>
        <v/>
      </c>
      <c r="L39" s="10">
        <f>AVERAGE('Per-Trial Conf'!$I144:$K144)</f>
        <v/>
      </c>
      <c r="M39" s="10">
        <f>IF(COUNT('Per-Trial Conf'!$I144:$K144)&gt;1,STDEV('Per-Trial Conf'!$I144:$K144)/SQRT(COUNT('Per-Trial Conf'!$I144:$K144)),0)</f>
        <v/>
      </c>
    </row>
    <row r="40">
      <c r="A40" s="6" t="n"/>
      <c r="B40" s="6" t="n"/>
      <c r="C40" s="6" t="n"/>
      <c r="D40" s="6" t="n"/>
      <c r="E40" s="6" t="inlineStr">
        <is>
          <t>SUM</t>
        </is>
      </c>
      <c r="F40" s="12" t="n"/>
      <c r="G40" s="12" t="n"/>
      <c r="H40" s="12">
        <f>SUM(H37:H39)</f>
        <v/>
      </c>
      <c r="I40" s="12">
        <f>SUM(I37:I39)</f>
        <v/>
      </c>
      <c r="J40" s="12">
        <f>SUM(J37:J39)</f>
        <v/>
      </c>
      <c r="K40" s="12" t="n"/>
      <c r="L40" s="12">
        <f>SUM(L37:L39)</f>
        <v/>
      </c>
      <c r="M40" s="12" t="n"/>
    </row>
    <row r="41">
      <c r="A41" s="6" t="n"/>
      <c r="B41" s="6" t="n"/>
      <c r="C41" s="6" t="n"/>
      <c r="D41" s="6" t="n"/>
      <c r="E41" s="6" t="inlineStr">
        <is>
          <t>ensemble charge</t>
        </is>
      </c>
      <c r="F41" s="12" t="n"/>
      <c r="G41" s="12" t="n"/>
      <c r="H41" s="12" t="n"/>
      <c r="I41" s="12">
        <f>SUMPRODUCT($F37:$F39,I37:I39)</f>
        <v/>
      </c>
      <c r="J41" s="12">
        <f>SUMPRODUCT($F37:$F39,J37:J39)</f>
        <v/>
      </c>
      <c r="K41" s="12" t="n"/>
      <c r="L41" s="12">
        <f>SUMPRODUCT($F37:$F39,L37:L39)</f>
        <v/>
      </c>
      <c r="M41" s="12" t="n"/>
    </row>
    <row r="43">
      <c r="A43" s="7" t="n"/>
      <c r="B43" s="8" t="inlineStr">
        <is>
          <t>ALK: Anaplastic Lymphoma Kinase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>
      <c r="A44" s="3" t="inlineStr">
        <is>
          <t>3AOX</t>
        </is>
      </c>
      <c r="B44" s="3" t="inlineStr">
        <is>
          <t>Alectinib</t>
        </is>
      </c>
      <c r="C44" s="3" t="inlineStr">
        <is>
          <t>EMH+1</t>
        </is>
      </c>
      <c r="D44" s="3" t="inlineStr">
        <is>
          <t>N31, N9</t>
        </is>
      </c>
      <c r="E44" s="3" t="inlineStr">
        <is>
          <t>EMH+1</t>
        </is>
      </c>
      <c r="F44" s="10">
        <f>'Per-Trial Conf'!$E40</f>
        <v/>
      </c>
      <c r="G44" s="10" t="n">
        <v>0.342</v>
      </c>
      <c r="H44" s="10">
        <f>IF(G44="","",EXP(-G44/$B$3))</f>
        <v/>
      </c>
      <c r="I44" s="10">
        <f>IF(H44="","",H44/SUM(H$44:H$45))</f>
        <v/>
      </c>
      <c r="J44" s="10">
        <f>AVERAGE('Per-Trial Conf'!$F40:$H40)</f>
        <v/>
      </c>
      <c r="K44" s="10">
        <f>IF(COUNT('Per-Trial Conf'!$F40:$H40)&gt;1,STDEV('Per-Trial Conf'!$F40:$H40)/SQRT(COUNT('Per-Trial Conf'!$F40:$H40)),0)</f>
        <v/>
      </c>
      <c r="L44" s="10">
        <f>AVERAGE('Per-Trial Conf'!$I40:$K40)</f>
        <v/>
      </c>
      <c r="M44" s="10">
        <f>IF(COUNT('Per-Trial Conf'!$I40:$K40)&gt;1,STDEV('Per-Trial Conf'!$I40:$K40)/SQRT(COUNT('Per-Trial Conf'!$I40:$K40)),0)</f>
        <v/>
      </c>
    </row>
    <row r="45">
      <c r="A45" s="3" t="inlineStr">
        <is>
          <t>3AOX</t>
        </is>
      </c>
      <c r="B45" s="3" t="inlineStr">
        <is>
          <t>Alectinib</t>
        </is>
      </c>
      <c r="C45" s="3" t="inlineStr">
        <is>
          <t>EMH 0</t>
        </is>
      </c>
      <c r="D45" s="3" t="inlineStr">
        <is>
          <t>N9</t>
        </is>
      </c>
      <c r="E45" s="3" t="inlineStr">
        <is>
          <t>EMH01</t>
        </is>
      </c>
      <c r="F45" s="10">
        <f>'Per-Trial Conf'!$E41</f>
        <v/>
      </c>
      <c r="G45" s="10" t="n">
        <v>0.488</v>
      </c>
      <c r="H45" s="10">
        <f>IF(G45="","",EXP(-G45/$B$3))</f>
        <v/>
      </c>
      <c r="I45" s="10">
        <f>IF(H45="","",H45/SUM(H$44:H$45))</f>
        <v/>
      </c>
      <c r="J45" s="10">
        <f>AVERAGE('Per-Trial Conf'!$F41:$H41)</f>
        <v/>
      </c>
      <c r="K45" s="10">
        <f>IF(COUNT('Per-Trial Conf'!$F41:$H41)&gt;1,STDEV('Per-Trial Conf'!$F41:$H41)/SQRT(COUNT('Per-Trial Conf'!$F41:$H41)),0)</f>
        <v/>
      </c>
      <c r="L45" s="10">
        <f>AVERAGE('Per-Trial Conf'!$I41:$K41)</f>
        <v/>
      </c>
      <c r="M45" s="10">
        <f>IF(COUNT('Per-Trial Conf'!$I41:$K41)&gt;1,STDEV('Per-Trial Conf'!$I41:$K41)/SQRT(COUNT('Per-Trial Conf'!$I41:$K41)),0)</f>
        <v/>
      </c>
    </row>
    <row r="46">
      <c r="A46" s="6" t="n"/>
      <c r="B46" s="6" t="n"/>
      <c r="C46" s="6" t="n"/>
      <c r="D46" s="6" t="n"/>
      <c r="E46" s="6" t="inlineStr">
        <is>
          <t>SUM</t>
        </is>
      </c>
      <c r="F46" s="12" t="n"/>
      <c r="G46" s="12" t="n"/>
      <c r="H46" s="12">
        <f>SUM(H44:H45)</f>
        <v/>
      </c>
      <c r="I46" s="12">
        <f>SUM(I44:I45)</f>
        <v/>
      </c>
      <c r="J46" s="12">
        <f>SUM(J44:J45)</f>
        <v/>
      </c>
      <c r="K46" s="12" t="n"/>
      <c r="L46" s="12">
        <f>SUM(L44:L45)</f>
        <v/>
      </c>
      <c r="M46" s="12" t="n"/>
    </row>
    <row r="47">
      <c r="A47" s="6" t="n"/>
      <c r="B47" s="6" t="n"/>
      <c r="C47" s="6" t="n"/>
      <c r="D47" s="6" t="n"/>
      <c r="E47" s="6" t="inlineStr">
        <is>
          <t>ensemble charge</t>
        </is>
      </c>
      <c r="F47" s="12" t="n"/>
      <c r="G47" s="12" t="n"/>
      <c r="H47" s="12" t="n"/>
      <c r="I47" s="12">
        <f>SUMPRODUCT($F44:$F45,I44:I45)</f>
        <v/>
      </c>
      <c r="J47" s="12">
        <f>SUMPRODUCT($F44:$F45,J44:J45)</f>
        <v/>
      </c>
      <c r="K47" s="12" t="n"/>
      <c r="L47" s="12">
        <f>SUMPRODUCT($F44:$F45,L44:L45)</f>
        <v/>
      </c>
      <c r="M47" s="12" t="n"/>
    </row>
    <row r="49">
      <c r="A49" s="3" t="inlineStr">
        <is>
          <t>4MKC</t>
        </is>
      </c>
      <c r="B49" s="3" t="inlineStr">
        <is>
          <t>Ceritinib</t>
        </is>
      </c>
      <c r="C49" s="3" t="inlineStr">
        <is>
          <t>4MK+1</t>
        </is>
      </c>
      <c r="D49" s="3" t="inlineStr">
        <is>
          <t>N11, N18, N25</t>
        </is>
      </c>
      <c r="E49" s="3" t="inlineStr">
        <is>
          <t>4MK+1</t>
        </is>
      </c>
      <c r="F49" s="10">
        <f>'Per-Trial Conf'!$E113</f>
        <v/>
      </c>
      <c r="G49" s="10" t="n">
        <v>0</v>
      </c>
      <c r="H49" s="10">
        <f>IF(G49="","",EXP(-G49/$B$3))</f>
        <v/>
      </c>
      <c r="I49" s="10">
        <f>IF(H49="","",H49/SUM(H$49:H$51))</f>
        <v/>
      </c>
      <c r="J49" s="10">
        <f>AVERAGE('Per-Trial Conf'!$F113:$H113)</f>
        <v/>
      </c>
      <c r="K49" s="10">
        <f>IF(COUNT('Per-Trial Conf'!$F113:$H113)&gt;1,STDEV('Per-Trial Conf'!$F113:$H113)/SQRT(COUNT('Per-Trial Conf'!$F113:$H113)),0)</f>
        <v/>
      </c>
      <c r="L49" s="10">
        <f>AVERAGE('Per-Trial Conf'!$I113:$K113)</f>
        <v/>
      </c>
      <c r="M49" s="10">
        <f>IF(COUNT('Per-Trial Conf'!$I113:$K113)&gt;1,STDEV('Per-Trial Conf'!$I113:$K113)/SQRT(COUNT('Per-Trial Conf'!$I113:$K113)),0)</f>
        <v/>
      </c>
    </row>
    <row r="50">
      <c r="A50" s="3" t="inlineStr">
        <is>
          <t>4MKC</t>
        </is>
      </c>
      <c r="B50" s="3" t="inlineStr">
        <is>
          <t>Ceritinib</t>
        </is>
      </c>
      <c r="C50" s="3" t="inlineStr">
        <is>
          <t>4MK+2</t>
        </is>
      </c>
      <c r="D50" s="3" t="inlineStr">
        <is>
          <t>N11, N18, N20, N25</t>
        </is>
      </c>
      <c r="E50" s="3" t="inlineStr">
        <is>
          <t>4MK+a</t>
        </is>
      </c>
      <c r="F50" s="10">
        <f>'Per-Trial Conf'!$E114</f>
        <v/>
      </c>
      <c r="G50" s="10" t="n">
        <v>5.439</v>
      </c>
      <c r="H50" s="10">
        <f>IF(G50="","",EXP(-G50/$B$3))</f>
        <v/>
      </c>
      <c r="I50" s="10">
        <f>IF(H50="","",H50/SUM(H$49:H$51))</f>
        <v/>
      </c>
      <c r="J50" s="10">
        <f>AVERAGE('Per-Trial Conf'!$F114:$H114)</f>
        <v/>
      </c>
      <c r="K50" s="10">
        <f>IF(COUNT('Per-Trial Conf'!$F114:$H114)&gt;1,STDEV('Per-Trial Conf'!$F114:$H114)/SQRT(COUNT('Per-Trial Conf'!$F114:$H114)),0)</f>
        <v/>
      </c>
      <c r="L50" s="10">
        <f>AVERAGE('Per-Trial Conf'!$I114:$K114)</f>
        <v/>
      </c>
      <c r="M50" s="10">
        <f>IF(COUNT('Per-Trial Conf'!$I114:$K114)&gt;1,STDEV('Per-Trial Conf'!$I114:$K114)/SQRT(COUNT('Per-Trial Conf'!$I114:$K114)),0)</f>
        <v/>
      </c>
    </row>
    <row r="51">
      <c r="A51" s="3" t="inlineStr">
        <is>
          <t>4MKC</t>
        </is>
      </c>
      <c r="B51" s="3" t="inlineStr">
        <is>
          <t>Ceritinib</t>
        </is>
      </c>
      <c r="C51" s="3" t="inlineStr">
        <is>
          <t>4MK 0</t>
        </is>
      </c>
      <c r="D51" s="3" t="inlineStr">
        <is>
          <t>N11, N18, N25</t>
        </is>
      </c>
      <c r="E51" s="3" t="inlineStr">
        <is>
          <t>4MK01</t>
        </is>
      </c>
      <c r="F51" s="10">
        <f>'Per-Trial Conf'!$E115</f>
        <v/>
      </c>
      <c r="G51" s="10" t="n">
        <v>3.967</v>
      </c>
      <c r="H51" s="10">
        <f>IF(G51="","",EXP(-G51/$B$3))</f>
        <v/>
      </c>
      <c r="I51" s="10">
        <f>IF(H51="","",H51/SUM(H$49:H$51))</f>
        <v/>
      </c>
      <c r="J51" s="10">
        <f>AVERAGE('Per-Trial Conf'!$F115:$H115)</f>
        <v/>
      </c>
      <c r="K51" s="10">
        <f>IF(COUNT('Per-Trial Conf'!$F115:$H115)&gt;1,STDEV('Per-Trial Conf'!$F115:$H115)/SQRT(COUNT('Per-Trial Conf'!$F115:$H115)),0)</f>
        <v/>
      </c>
      <c r="L51" s="10">
        <f>AVERAGE('Per-Trial Conf'!$I115:$K115)</f>
        <v/>
      </c>
      <c r="M51" s="10">
        <f>IF(COUNT('Per-Trial Conf'!$I115:$K115)&gt;1,STDEV('Per-Trial Conf'!$I115:$K115)/SQRT(COUNT('Per-Trial Conf'!$I115:$K115)),0)</f>
        <v/>
      </c>
    </row>
    <row r="52">
      <c r="A52" s="6" t="n"/>
      <c r="B52" s="6" t="n"/>
      <c r="C52" s="6" t="n"/>
      <c r="D52" s="6" t="n"/>
      <c r="E52" s="6" t="inlineStr">
        <is>
          <t>SUM</t>
        </is>
      </c>
      <c r="F52" s="12" t="n"/>
      <c r="G52" s="12" t="n"/>
      <c r="H52" s="12">
        <f>SUM(H49:H51)</f>
        <v/>
      </c>
      <c r="I52" s="12">
        <f>SUM(I49:I51)</f>
        <v/>
      </c>
      <c r="J52" s="12">
        <f>SUM(J49:J51)</f>
        <v/>
      </c>
      <c r="K52" s="12" t="n"/>
      <c r="L52" s="12">
        <f>SUM(L49:L51)</f>
        <v/>
      </c>
      <c r="M52" s="12" t="n"/>
    </row>
    <row r="53">
      <c r="A53" s="6" t="n"/>
      <c r="B53" s="6" t="n"/>
      <c r="C53" s="6" t="n"/>
      <c r="D53" s="6" t="n"/>
      <c r="E53" s="6" t="inlineStr">
        <is>
          <t>ensemble charge</t>
        </is>
      </c>
      <c r="F53" s="12" t="n"/>
      <c r="G53" s="12" t="n"/>
      <c r="H53" s="12" t="n"/>
      <c r="I53" s="12">
        <f>SUMPRODUCT($F49:$F51,I49:I51)</f>
        <v/>
      </c>
      <c r="J53" s="12">
        <f>SUMPRODUCT($F49:$F51,J49:J51)</f>
        <v/>
      </c>
      <c r="K53" s="12" t="n"/>
      <c r="L53" s="12">
        <f>SUMPRODUCT($F49:$F51,L49:L51)</f>
        <v/>
      </c>
      <c r="M53" s="12" t="n"/>
    </row>
    <row r="55">
      <c r="A55" s="3" t="inlineStr">
        <is>
          <t>2XP2</t>
        </is>
      </c>
      <c r="B55" s="3" t="inlineStr">
        <is>
          <t>Crizotinib</t>
        </is>
      </c>
      <c r="C55" s="3" t="inlineStr">
        <is>
          <t>VGH+1a</t>
        </is>
      </c>
      <c r="D55" s="3" t="inlineStr">
        <is>
          <t>N22, N25</t>
        </is>
      </c>
      <c r="E55" s="3" t="inlineStr">
        <is>
          <t>VGH+1</t>
        </is>
      </c>
      <c r="F55" s="10">
        <f>'Per-Trial Conf'!$E32</f>
        <v/>
      </c>
      <c r="G55" s="10" t="n">
        <v>0.585</v>
      </c>
      <c r="H55" s="10">
        <f>IF(G55="","",EXP(-G55/$B$3))</f>
        <v/>
      </c>
      <c r="I55" s="10">
        <f>IF(H55="","",H55/SUM(H$55:H$58))</f>
        <v/>
      </c>
      <c r="J55" s="10">
        <f>AVERAGE('Per-Trial Conf'!$F32:$H32)</f>
        <v/>
      </c>
      <c r="K55" s="10">
        <f>IF(COUNT('Per-Trial Conf'!$F32:$H32)&gt;1,STDEV('Per-Trial Conf'!$F32:$H32)/SQRT(COUNT('Per-Trial Conf'!$F32:$H32)),0)</f>
        <v/>
      </c>
      <c r="L55" s="10">
        <f>AVERAGE('Per-Trial Conf'!$I32:$K32)</f>
        <v/>
      </c>
      <c r="M55" s="10">
        <f>IF(COUNT('Per-Trial Conf'!$I32:$K32)&gt;1,STDEV('Per-Trial Conf'!$I32:$K32)/SQRT(COUNT('Per-Trial Conf'!$I32:$K32)),0)</f>
        <v/>
      </c>
    </row>
    <row r="56">
      <c r="A56" s="3" t="inlineStr">
        <is>
          <t>2XP2</t>
        </is>
      </c>
      <c r="B56" s="3" t="inlineStr">
        <is>
          <t>Crizotinib</t>
        </is>
      </c>
      <c r="C56" s="3" t="inlineStr">
        <is>
          <t>VGH+1b</t>
        </is>
      </c>
      <c r="D56" s="3" t="inlineStr">
        <is>
          <t>N22, N23, N25</t>
        </is>
      </c>
      <c r="E56" s="3" t="inlineStr">
        <is>
          <t>VGH+2</t>
        </is>
      </c>
      <c r="F56" s="10">
        <f>'Per-Trial Conf'!$E33</f>
        <v/>
      </c>
      <c r="G56" s="10" t="n">
        <v>3.587</v>
      </c>
      <c r="H56" s="10">
        <f>IF(G56="","",EXP(-G56/$B$3))</f>
        <v/>
      </c>
      <c r="I56" s="10">
        <f>IF(H56="","",H56/SUM(H$55:H$58))</f>
        <v/>
      </c>
      <c r="J56" s="10">
        <f>AVERAGE('Per-Trial Conf'!$F33:$H33)</f>
        <v/>
      </c>
      <c r="K56" s="10">
        <f>IF(COUNT('Per-Trial Conf'!$F33:$H33)&gt;1,STDEV('Per-Trial Conf'!$F33:$H33)/SQRT(COUNT('Per-Trial Conf'!$F33:$H33)),0)</f>
        <v/>
      </c>
      <c r="L56" s="10">
        <f>AVERAGE('Per-Trial Conf'!$I33:$K33)</f>
        <v/>
      </c>
      <c r="M56" s="10">
        <f>IF(COUNT('Per-Trial Conf'!$I33:$K33)&gt;1,STDEV('Per-Trial Conf'!$I33:$K33)/SQRT(COUNT('Per-Trial Conf'!$I33:$K33)),0)</f>
        <v/>
      </c>
    </row>
    <row r="57">
      <c r="A57" s="3" t="inlineStr">
        <is>
          <t>2XP2</t>
        </is>
      </c>
      <c r="B57" s="3" t="inlineStr">
        <is>
          <t>Crizotinib</t>
        </is>
      </c>
      <c r="C57" s="3" t="inlineStr">
        <is>
          <t>VGH+2</t>
        </is>
      </c>
      <c r="D57" s="3" t="inlineStr">
        <is>
          <t>N22, N23, N25</t>
        </is>
      </c>
      <c r="E57" s="3" t="inlineStr">
        <is>
          <t>VGH+a</t>
        </is>
      </c>
      <c r="F57" s="10">
        <f>'Per-Trial Conf'!$E34</f>
        <v/>
      </c>
      <c r="G57" s="10" t="n">
        <v>0.283</v>
      </c>
      <c r="H57" s="10">
        <f>IF(G57="","",EXP(-G57/$B$3))</f>
        <v/>
      </c>
      <c r="I57" s="10">
        <f>IF(H57="","",H57/SUM(H$55:H$58))</f>
        <v/>
      </c>
      <c r="J57" s="10">
        <f>AVERAGE('Per-Trial Conf'!$F34:$H34)</f>
        <v/>
      </c>
      <c r="K57" s="10">
        <f>IF(COUNT('Per-Trial Conf'!$F34:$H34)&gt;1,STDEV('Per-Trial Conf'!$F34:$H34)/SQRT(COUNT('Per-Trial Conf'!$F34:$H34)),0)</f>
        <v/>
      </c>
      <c r="L57" s="10">
        <f>AVERAGE('Per-Trial Conf'!$I34:$K34)</f>
        <v/>
      </c>
      <c r="M57" s="10">
        <f>IF(COUNT('Per-Trial Conf'!$I34:$K34)&gt;1,STDEV('Per-Trial Conf'!$I34:$K34)/SQRT(COUNT('Per-Trial Conf'!$I34:$K34)),0)</f>
        <v/>
      </c>
    </row>
    <row r="58">
      <c r="A58" s="3" t="inlineStr">
        <is>
          <t>2XP2</t>
        </is>
      </c>
      <c r="B58" s="3" t="inlineStr">
        <is>
          <t>Crizotinib</t>
        </is>
      </c>
      <c r="C58" s="3" t="inlineStr">
        <is>
          <t>VGH 0</t>
        </is>
      </c>
      <c r="D58" s="3" t="inlineStr">
        <is>
          <t>N22, N25</t>
        </is>
      </c>
      <c r="E58" s="3" t="inlineStr">
        <is>
          <t>VGH01</t>
        </is>
      </c>
      <c r="F58" s="10">
        <f>'Per-Trial Conf'!$E35</f>
        <v/>
      </c>
      <c r="G58" s="10" t="n">
        <v>3.192</v>
      </c>
      <c r="H58" s="10">
        <f>IF(G58="","",EXP(-G58/$B$3))</f>
        <v/>
      </c>
      <c r="I58" s="10">
        <f>IF(H58="","",H58/SUM(H$55:H$58))</f>
        <v/>
      </c>
      <c r="J58" s="10">
        <f>AVERAGE('Per-Trial Conf'!$F35:$H35)</f>
        <v/>
      </c>
      <c r="K58" s="10">
        <f>IF(COUNT('Per-Trial Conf'!$F35:$H35)&gt;1,STDEV('Per-Trial Conf'!$F35:$H35)/SQRT(COUNT('Per-Trial Conf'!$F35:$H35)),0)</f>
        <v/>
      </c>
      <c r="L58" s="10">
        <f>AVERAGE('Per-Trial Conf'!$I35:$K35)</f>
        <v/>
      </c>
      <c r="M58" s="10">
        <f>IF(COUNT('Per-Trial Conf'!$I35:$K35)&gt;1,STDEV('Per-Trial Conf'!$I35:$K35)/SQRT(COUNT('Per-Trial Conf'!$I35:$K35)),0)</f>
        <v/>
      </c>
    </row>
    <row r="59">
      <c r="A59" s="6" t="n"/>
      <c r="B59" s="6" t="n"/>
      <c r="C59" s="6" t="n"/>
      <c r="D59" s="6" t="n"/>
      <c r="E59" s="6" t="inlineStr">
        <is>
          <t>SUM</t>
        </is>
      </c>
      <c r="F59" s="12" t="n"/>
      <c r="G59" s="12" t="n"/>
      <c r="H59" s="12">
        <f>SUM(H55:H58)</f>
        <v/>
      </c>
      <c r="I59" s="12">
        <f>SUM(I55:I58)</f>
        <v/>
      </c>
      <c r="J59" s="12">
        <f>SUM(J55:J58)</f>
        <v/>
      </c>
      <c r="K59" s="12" t="n"/>
      <c r="L59" s="12">
        <f>SUM(L55:L58)</f>
        <v/>
      </c>
      <c r="M59" s="12" t="n"/>
    </row>
    <row r="60">
      <c r="A60" s="6" t="n"/>
      <c r="B60" s="6" t="n"/>
      <c r="C60" s="6" t="n"/>
      <c r="D60" s="6" t="n"/>
      <c r="E60" s="6" t="inlineStr">
        <is>
          <t>ensemble charge</t>
        </is>
      </c>
      <c r="F60" s="12" t="n"/>
      <c r="G60" s="12" t="n"/>
      <c r="H60" s="12" t="n"/>
      <c r="I60" s="12">
        <f>SUMPRODUCT($F55:$F58,I55:I58)</f>
        <v/>
      </c>
      <c r="J60" s="12">
        <f>SUMPRODUCT($F55:$F58,J55:J58)</f>
        <v/>
      </c>
      <c r="K60" s="12" t="n"/>
      <c r="L60" s="12">
        <f>SUMPRODUCT($F55:$F58,L55:L58)</f>
        <v/>
      </c>
      <c r="M60" s="12" t="n"/>
    </row>
    <row r="62">
      <c r="A62" s="3" t="inlineStr">
        <is>
          <t>2YFX</t>
        </is>
      </c>
      <c r="B62" s="3" t="inlineStr">
        <is>
          <t>Crizotinib</t>
        </is>
      </c>
      <c r="C62" s="3" t="inlineStr">
        <is>
          <t>VGH+1a</t>
        </is>
      </c>
      <c r="D62" s="3" t="inlineStr">
        <is>
          <t>N22, N25</t>
        </is>
      </c>
      <c r="E62" s="3" t="inlineStr">
        <is>
          <t>VGH+1</t>
        </is>
      </c>
      <c r="F62" s="10">
        <f>'Per-Trial Conf'!$E36</f>
        <v/>
      </c>
      <c r="G62" s="10" t="n">
        <v>0.585</v>
      </c>
      <c r="H62" s="10">
        <f>IF(G62="","",EXP(-G62/$B$3))</f>
        <v/>
      </c>
      <c r="I62" s="10">
        <f>IF(H62="","",H62/SUM(H$62:H$65))</f>
        <v/>
      </c>
      <c r="J62" s="10">
        <f>AVERAGE('Per-Trial Conf'!$F36:$H36)</f>
        <v/>
      </c>
      <c r="K62" s="10">
        <f>IF(COUNT('Per-Trial Conf'!$F36:$H36)&gt;1,STDEV('Per-Trial Conf'!$F36:$H36)/SQRT(COUNT('Per-Trial Conf'!$F36:$H36)),0)</f>
        <v/>
      </c>
      <c r="L62" s="10">
        <f>AVERAGE('Per-Trial Conf'!$I36:$K36)</f>
        <v/>
      </c>
      <c r="M62" s="10">
        <f>IF(COUNT('Per-Trial Conf'!$I36:$K36)&gt;1,STDEV('Per-Trial Conf'!$I36:$K36)/SQRT(COUNT('Per-Trial Conf'!$I36:$K36)),0)</f>
        <v/>
      </c>
    </row>
    <row r="63">
      <c r="A63" s="3" t="inlineStr">
        <is>
          <t>2YFX</t>
        </is>
      </c>
      <c r="B63" s="3" t="inlineStr">
        <is>
          <t>Crizotinib</t>
        </is>
      </c>
      <c r="C63" s="3" t="inlineStr">
        <is>
          <t>VGH+1b</t>
        </is>
      </c>
      <c r="D63" s="3" t="inlineStr">
        <is>
          <t>N22, N23, N25</t>
        </is>
      </c>
      <c r="E63" s="3" t="inlineStr">
        <is>
          <t>VGH+2</t>
        </is>
      </c>
      <c r="F63" s="10">
        <f>'Per-Trial Conf'!$E37</f>
        <v/>
      </c>
      <c r="G63" s="10" t="n">
        <v>3.587</v>
      </c>
      <c r="H63" s="10">
        <f>IF(G63="","",EXP(-G63/$B$3))</f>
        <v/>
      </c>
      <c r="I63" s="10">
        <f>IF(H63="","",H63/SUM(H$62:H$65))</f>
        <v/>
      </c>
      <c r="J63" s="10">
        <f>AVERAGE('Per-Trial Conf'!$F37:$H37)</f>
        <v/>
      </c>
      <c r="K63" s="10">
        <f>IF(COUNT('Per-Trial Conf'!$F37:$H37)&gt;1,STDEV('Per-Trial Conf'!$F37:$H37)/SQRT(COUNT('Per-Trial Conf'!$F37:$H37)),0)</f>
        <v/>
      </c>
      <c r="L63" s="10">
        <f>AVERAGE('Per-Trial Conf'!$I37:$K37)</f>
        <v/>
      </c>
      <c r="M63" s="10">
        <f>IF(COUNT('Per-Trial Conf'!$I37:$K37)&gt;1,STDEV('Per-Trial Conf'!$I37:$K37)/SQRT(COUNT('Per-Trial Conf'!$I37:$K37)),0)</f>
        <v/>
      </c>
    </row>
    <row r="64">
      <c r="A64" s="3" t="inlineStr">
        <is>
          <t>2YFX</t>
        </is>
      </c>
      <c r="B64" s="3" t="inlineStr">
        <is>
          <t>Crizotinib</t>
        </is>
      </c>
      <c r="C64" s="3" t="inlineStr">
        <is>
          <t>VGH+2</t>
        </is>
      </c>
      <c r="D64" s="3" t="inlineStr">
        <is>
          <t>N22, N23, N25</t>
        </is>
      </c>
      <c r="E64" s="3" t="inlineStr">
        <is>
          <t>VGH+a</t>
        </is>
      </c>
      <c r="F64" s="10">
        <f>'Per-Trial Conf'!$E38</f>
        <v/>
      </c>
      <c r="G64" s="10" t="n">
        <v>0.283</v>
      </c>
      <c r="H64" s="10">
        <f>IF(G64="","",EXP(-G64/$B$3))</f>
        <v/>
      </c>
      <c r="I64" s="10">
        <f>IF(H64="","",H64/SUM(H$62:H$65))</f>
        <v/>
      </c>
      <c r="J64" s="10">
        <f>AVERAGE('Per-Trial Conf'!$F38:$H38)</f>
        <v/>
      </c>
      <c r="K64" s="10">
        <f>IF(COUNT('Per-Trial Conf'!$F38:$H38)&gt;1,STDEV('Per-Trial Conf'!$F38:$H38)/SQRT(COUNT('Per-Trial Conf'!$F38:$H38)),0)</f>
        <v/>
      </c>
      <c r="L64" s="10">
        <f>AVERAGE('Per-Trial Conf'!$I38:$K38)</f>
        <v/>
      </c>
      <c r="M64" s="10">
        <f>IF(COUNT('Per-Trial Conf'!$I38:$K38)&gt;1,STDEV('Per-Trial Conf'!$I38:$K38)/SQRT(COUNT('Per-Trial Conf'!$I38:$K38)),0)</f>
        <v/>
      </c>
    </row>
    <row r="65">
      <c r="A65" s="3" t="inlineStr">
        <is>
          <t>2YFX</t>
        </is>
      </c>
      <c r="B65" s="3" t="inlineStr">
        <is>
          <t>Crizotinib</t>
        </is>
      </c>
      <c r="C65" s="3" t="inlineStr">
        <is>
          <t>VGH 0</t>
        </is>
      </c>
      <c r="D65" s="3" t="inlineStr">
        <is>
          <t>N22, N25</t>
        </is>
      </c>
      <c r="E65" s="3" t="inlineStr">
        <is>
          <t>VGH01</t>
        </is>
      </c>
      <c r="F65" s="10">
        <f>'Per-Trial Conf'!$E39</f>
        <v/>
      </c>
      <c r="G65" s="10" t="n">
        <v>3.192</v>
      </c>
      <c r="H65" s="10">
        <f>IF(G65="","",EXP(-G65/$B$3))</f>
        <v/>
      </c>
      <c r="I65" s="10">
        <f>IF(H65="","",H65/SUM(H$62:H$65))</f>
        <v/>
      </c>
      <c r="J65" s="10">
        <f>AVERAGE('Per-Trial Conf'!$F39:$H39)</f>
        <v/>
      </c>
      <c r="K65" s="10">
        <f>IF(COUNT('Per-Trial Conf'!$F39:$H39)&gt;1,STDEV('Per-Trial Conf'!$F39:$H39)/SQRT(COUNT('Per-Trial Conf'!$F39:$H39)),0)</f>
        <v/>
      </c>
      <c r="L65" s="10">
        <f>AVERAGE('Per-Trial Conf'!$I39:$K39)</f>
        <v/>
      </c>
      <c r="M65" s="10">
        <f>IF(COUNT('Per-Trial Conf'!$I39:$K39)&gt;1,STDEV('Per-Trial Conf'!$I39:$K39)/SQRT(COUNT('Per-Trial Conf'!$I39:$K39)),0)</f>
        <v/>
      </c>
    </row>
    <row r="66">
      <c r="A66" s="6" t="n"/>
      <c r="B66" s="6" t="n"/>
      <c r="C66" s="6" t="n"/>
      <c r="D66" s="6" t="n"/>
      <c r="E66" s="6" t="inlineStr">
        <is>
          <t>SUM</t>
        </is>
      </c>
      <c r="F66" s="12" t="n"/>
      <c r="G66" s="12" t="n"/>
      <c r="H66" s="12">
        <f>SUM(H62:H65)</f>
        <v/>
      </c>
      <c r="I66" s="12">
        <f>SUM(I62:I65)</f>
        <v/>
      </c>
      <c r="J66" s="12">
        <f>SUM(J62:J65)</f>
        <v/>
      </c>
      <c r="K66" s="12" t="n"/>
      <c r="L66" s="12">
        <f>SUM(L62:L65)</f>
        <v/>
      </c>
      <c r="M66" s="12" t="n"/>
    </row>
    <row r="67">
      <c r="A67" s="6" t="n"/>
      <c r="B67" s="6" t="n"/>
      <c r="C67" s="6" t="n"/>
      <c r="D67" s="6" t="n"/>
      <c r="E67" s="6" t="inlineStr">
        <is>
          <t>ensemble charge</t>
        </is>
      </c>
      <c r="F67" s="12" t="n"/>
      <c r="G67" s="12" t="n"/>
      <c r="H67" s="12" t="n"/>
      <c r="I67" s="12">
        <f>SUMPRODUCT($F62:$F65,I62:I65)</f>
        <v/>
      </c>
      <c r="J67" s="12">
        <f>SUMPRODUCT($F62:$F65,J62:J65)</f>
        <v/>
      </c>
      <c r="K67" s="12" t="n"/>
      <c r="L67" s="12">
        <f>SUMPRODUCT($F62:$F65,L62:L65)</f>
        <v/>
      </c>
      <c r="M67" s="12" t="n"/>
    </row>
    <row r="69">
      <c r="A69" s="3" t="inlineStr">
        <is>
          <t>4ANQ</t>
        </is>
      </c>
      <c r="B69" s="3" t="inlineStr">
        <is>
          <t>Crizotinib</t>
        </is>
      </c>
      <c r="C69" s="3" t="inlineStr">
        <is>
          <t>VGH+1a</t>
        </is>
      </c>
      <c r="D69" s="3" t="inlineStr">
        <is>
          <t>N22, N25</t>
        </is>
      </c>
      <c r="E69" s="3" t="inlineStr">
        <is>
          <t>VGH+1</t>
        </is>
      </c>
      <c r="F69" s="10">
        <f>'Per-Trial Conf'!$E87</f>
        <v/>
      </c>
      <c r="G69" s="10" t="n">
        <v>0.585</v>
      </c>
      <c r="H69" s="10">
        <f>IF(G69="","",EXP(-G69/$B$3))</f>
        <v/>
      </c>
      <c r="I69" s="10">
        <f>IF(H69="","",H69/SUM(H$69:H$72))</f>
        <v/>
      </c>
      <c r="J69" s="10">
        <f>AVERAGE('Per-Trial Conf'!$F87:$H87)</f>
        <v/>
      </c>
      <c r="K69" s="10">
        <f>IF(COUNT('Per-Trial Conf'!$F87:$H87)&gt;1,STDEV('Per-Trial Conf'!$F87:$H87)/SQRT(COUNT('Per-Trial Conf'!$F87:$H87)),0)</f>
        <v/>
      </c>
      <c r="L69" s="10">
        <f>AVERAGE('Per-Trial Conf'!$I87:$K87)</f>
        <v/>
      </c>
      <c r="M69" s="10">
        <f>IF(COUNT('Per-Trial Conf'!$I87:$K87)&gt;1,STDEV('Per-Trial Conf'!$I87:$K87)/SQRT(COUNT('Per-Trial Conf'!$I87:$K87)),0)</f>
        <v/>
      </c>
    </row>
    <row r="70">
      <c r="A70" s="3" t="inlineStr">
        <is>
          <t>4ANQ</t>
        </is>
      </c>
      <c r="B70" s="3" t="inlineStr">
        <is>
          <t>Crizotinib</t>
        </is>
      </c>
      <c r="C70" s="3" t="inlineStr">
        <is>
          <t>VGH+1b</t>
        </is>
      </c>
      <c r="D70" s="3" t="inlineStr">
        <is>
          <t>N22, N23, N25</t>
        </is>
      </c>
      <c r="E70" s="3" t="inlineStr">
        <is>
          <t>VGH+2</t>
        </is>
      </c>
      <c r="F70" s="10">
        <f>'Per-Trial Conf'!$E88</f>
        <v/>
      </c>
      <c r="G70" s="10" t="n">
        <v>3.587</v>
      </c>
      <c r="H70" s="10">
        <f>IF(G70="","",EXP(-G70/$B$3))</f>
        <v/>
      </c>
      <c r="I70" s="10">
        <f>IF(H70="","",H70/SUM(H$69:H$72))</f>
        <v/>
      </c>
      <c r="J70" s="10">
        <f>AVERAGE('Per-Trial Conf'!$F88:$H88)</f>
        <v/>
      </c>
      <c r="K70" s="10">
        <f>IF(COUNT('Per-Trial Conf'!$F88:$H88)&gt;1,STDEV('Per-Trial Conf'!$F88:$H88)/SQRT(COUNT('Per-Trial Conf'!$F88:$H88)),0)</f>
        <v/>
      </c>
      <c r="L70" s="10">
        <f>AVERAGE('Per-Trial Conf'!$I88:$K88)</f>
        <v/>
      </c>
      <c r="M70" s="10">
        <f>IF(COUNT('Per-Trial Conf'!$I88:$K88)&gt;1,STDEV('Per-Trial Conf'!$I88:$K88)/SQRT(COUNT('Per-Trial Conf'!$I88:$K88)),0)</f>
        <v/>
      </c>
    </row>
    <row r="71">
      <c r="A71" s="3" t="inlineStr">
        <is>
          <t>4ANQ</t>
        </is>
      </c>
      <c r="B71" s="3" t="inlineStr">
        <is>
          <t>Crizotinib</t>
        </is>
      </c>
      <c r="C71" s="3" t="inlineStr">
        <is>
          <t>VGH+2</t>
        </is>
      </c>
      <c r="D71" s="3" t="inlineStr">
        <is>
          <t>N22, N23, N25</t>
        </is>
      </c>
      <c r="E71" s="3" t="inlineStr">
        <is>
          <t>VGH+a</t>
        </is>
      </c>
      <c r="F71" s="10">
        <f>'Per-Trial Conf'!$E89</f>
        <v/>
      </c>
      <c r="G71" s="10" t="n">
        <v>0.283</v>
      </c>
      <c r="H71" s="10">
        <f>IF(G71="","",EXP(-G71/$B$3))</f>
        <v/>
      </c>
      <c r="I71" s="10">
        <f>IF(H71="","",H71/SUM(H$69:H$72))</f>
        <v/>
      </c>
      <c r="J71" s="10">
        <f>AVERAGE('Per-Trial Conf'!$F89:$H89)</f>
        <v/>
      </c>
      <c r="K71" s="10">
        <f>IF(COUNT('Per-Trial Conf'!$F89:$H89)&gt;1,STDEV('Per-Trial Conf'!$F89:$H89)/SQRT(COUNT('Per-Trial Conf'!$F89:$H89)),0)</f>
        <v/>
      </c>
      <c r="L71" s="10">
        <f>AVERAGE('Per-Trial Conf'!$I89:$K89)</f>
        <v/>
      </c>
      <c r="M71" s="10">
        <f>IF(COUNT('Per-Trial Conf'!$I89:$K89)&gt;1,STDEV('Per-Trial Conf'!$I89:$K89)/SQRT(COUNT('Per-Trial Conf'!$I89:$K89)),0)</f>
        <v/>
      </c>
    </row>
    <row r="72">
      <c r="A72" s="3" t="inlineStr">
        <is>
          <t>4ANQ</t>
        </is>
      </c>
      <c r="B72" s="3" t="inlineStr">
        <is>
          <t>Crizotinib</t>
        </is>
      </c>
      <c r="C72" s="3" t="inlineStr">
        <is>
          <t>VGH 0</t>
        </is>
      </c>
      <c r="D72" s="3" t="inlineStr">
        <is>
          <t>N22, N25</t>
        </is>
      </c>
      <c r="E72" s="3" t="inlineStr">
        <is>
          <t>VGH01</t>
        </is>
      </c>
      <c r="F72" s="10">
        <f>'Per-Trial Conf'!$E90</f>
        <v/>
      </c>
      <c r="G72" s="10" t="n">
        <v>3.192</v>
      </c>
      <c r="H72" s="10">
        <f>IF(G72="","",EXP(-G72/$B$3))</f>
        <v/>
      </c>
      <c r="I72" s="10">
        <f>IF(H72="","",H72/SUM(H$69:H$72))</f>
        <v/>
      </c>
      <c r="J72" s="10">
        <f>AVERAGE('Per-Trial Conf'!$F90:$H90)</f>
        <v/>
      </c>
      <c r="K72" s="10">
        <f>IF(COUNT('Per-Trial Conf'!$F90:$H90)&gt;1,STDEV('Per-Trial Conf'!$F90:$H90)/SQRT(COUNT('Per-Trial Conf'!$F90:$H90)),0)</f>
        <v/>
      </c>
      <c r="L72" s="10">
        <f>AVERAGE('Per-Trial Conf'!$I90:$K90)</f>
        <v/>
      </c>
      <c r="M72" s="10">
        <f>IF(COUNT('Per-Trial Conf'!$I90:$K90)&gt;1,STDEV('Per-Trial Conf'!$I90:$K90)/SQRT(COUNT('Per-Trial Conf'!$I90:$K90)),0)</f>
        <v/>
      </c>
    </row>
    <row r="73">
      <c r="A73" s="6" t="n"/>
      <c r="B73" s="6" t="n"/>
      <c r="C73" s="6" t="n"/>
      <c r="D73" s="6" t="n"/>
      <c r="E73" s="6" t="inlineStr">
        <is>
          <t>SUM</t>
        </is>
      </c>
      <c r="F73" s="12" t="n"/>
      <c r="G73" s="12" t="n"/>
      <c r="H73" s="12">
        <f>SUM(H69:H72)</f>
        <v/>
      </c>
      <c r="I73" s="12">
        <f>SUM(I69:I72)</f>
        <v/>
      </c>
      <c r="J73" s="12">
        <f>SUM(J69:J72)</f>
        <v/>
      </c>
      <c r="K73" s="12" t="n"/>
      <c r="L73" s="12">
        <f>SUM(L69:L72)</f>
        <v/>
      </c>
      <c r="M73" s="12" t="n"/>
    </row>
    <row r="74">
      <c r="A74" s="6" t="n"/>
      <c r="B74" s="6" t="n"/>
      <c r="C74" s="6" t="n"/>
      <c r="D74" s="6" t="n"/>
      <c r="E74" s="6" t="inlineStr">
        <is>
          <t>ensemble charge</t>
        </is>
      </c>
      <c r="F74" s="12" t="n"/>
      <c r="G74" s="12" t="n"/>
      <c r="H74" s="12" t="n"/>
      <c r="I74" s="12">
        <f>SUMPRODUCT($F69:$F72,I69:I72)</f>
        <v/>
      </c>
      <c r="J74" s="12">
        <f>SUMPRODUCT($F69:$F72,J69:J72)</f>
        <v/>
      </c>
      <c r="K74" s="12" t="n"/>
      <c r="L74" s="12">
        <f>SUMPRODUCT($F69:$F72,L69:L72)</f>
        <v/>
      </c>
      <c r="M74" s="12" t="n"/>
    </row>
    <row r="76">
      <c r="A76" s="3" t="inlineStr">
        <is>
          <t>4ANS</t>
        </is>
      </c>
      <c r="B76" s="3" t="inlineStr">
        <is>
          <t>Crizotinib</t>
        </is>
      </c>
      <c r="C76" s="3" t="inlineStr">
        <is>
          <t>VGH+1a</t>
        </is>
      </c>
      <c r="D76" s="3" t="inlineStr">
        <is>
          <t>N22, N25</t>
        </is>
      </c>
      <c r="E76" s="3" t="inlineStr">
        <is>
          <t>VGH+1</t>
        </is>
      </c>
      <c r="F76" s="10">
        <f>'Per-Trial Conf'!$E91</f>
        <v/>
      </c>
      <c r="G76" s="10" t="n">
        <v>0.585</v>
      </c>
      <c r="H76" s="10">
        <f>IF(G76="","",EXP(-G76/$B$3))</f>
        <v/>
      </c>
      <c r="I76" s="10">
        <f>IF(H76="","",H76/SUM(H$76:H$79))</f>
        <v/>
      </c>
      <c r="J76" s="10">
        <f>AVERAGE('Per-Trial Conf'!$F91:$H91)</f>
        <v/>
      </c>
      <c r="K76" s="10">
        <f>IF(COUNT('Per-Trial Conf'!$F91:$H91)&gt;1,STDEV('Per-Trial Conf'!$F91:$H91)/SQRT(COUNT('Per-Trial Conf'!$F91:$H91)),0)</f>
        <v/>
      </c>
      <c r="L76" s="10">
        <f>AVERAGE('Per-Trial Conf'!$I91:$K91)</f>
        <v/>
      </c>
      <c r="M76" s="10">
        <f>IF(COUNT('Per-Trial Conf'!$I91:$K91)&gt;1,STDEV('Per-Trial Conf'!$I91:$K91)/SQRT(COUNT('Per-Trial Conf'!$I91:$K91)),0)</f>
        <v/>
      </c>
    </row>
    <row r="77">
      <c r="A77" s="3" t="inlineStr">
        <is>
          <t>4ANS</t>
        </is>
      </c>
      <c r="B77" s="3" t="inlineStr">
        <is>
          <t>Crizotinib</t>
        </is>
      </c>
      <c r="C77" s="3" t="inlineStr">
        <is>
          <t>VGH+1b</t>
        </is>
      </c>
      <c r="D77" s="3" t="inlineStr">
        <is>
          <t>N22, N23, N25</t>
        </is>
      </c>
      <c r="E77" s="3" t="inlineStr">
        <is>
          <t>VGH+2</t>
        </is>
      </c>
      <c r="F77" s="10">
        <f>'Per-Trial Conf'!$E92</f>
        <v/>
      </c>
      <c r="G77" s="10" t="n">
        <v>3.587</v>
      </c>
      <c r="H77" s="10">
        <f>IF(G77="","",EXP(-G77/$B$3))</f>
        <v/>
      </c>
      <c r="I77" s="10">
        <f>IF(H77="","",H77/SUM(H$76:H$79))</f>
        <v/>
      </c>
      <c r="J77" s="10">
        <f>AVERAGE('Per-Trial Conf'!$F92:$H92)</f>
        <v/>
      </c>
      <c r="K77" s="10">
        <f>IF(COUNT('Per-Trial Conf'!$F92:$H92)&gt;1,STDEV('Per-Trial Conf'!$F92:$H92)/SQRT(COUNT('Per-Trial Conf'!$F92:$H92)),0)</f>
        <v/>
      </c>
      <c r="L77" s="10">
        <f>AVERAGE('Per-Trial Conf'!$I92:$K92)</f>
        <v/>
      </c>
      <c r="M77" s="10">
        <f>IF(COUNT('Per-Trial Conf'!$I92:$K92)&gt;1,STDEV('Per-Trial Conf'!$I92:$K92)/SQRT(COUNT('Per-Trial Conf'!$I92:$K92)),0)</f>
        <v/>
      </c>
    </row>
    <row r="78">
      <c r="A78" s="3" t="inlineStr">
        <is>
          <t>4ANS</t>
        </is>
      </c>
      <c r="B78" s="3" t="inlineStr">
        <is>
          <t>Crizotinib</t>
        </is>
      </c>
      <c r="C78" s="3" t="inlineStr">
        <is>
          <t>VGH+2</t>
        </is>
      </c>
      <c r="D78" s="3" t="inlineStr">
        <is>
          <t>N22, N23, N25</t>
        </is>
      </c>
      <c r="E78" s="3" t="inlineStr">
        <is>
          <t>VGH+a</t>
        </is>
      </c>
      <c r="F78" s="10">
        <f>'Per-Trial Conf'!$E93</f>
        <v/>
      </c>
      <c r="G78" s="10" t="n">
        <v>0.283</v>
      </c>
      <c r="H78" s="10">
        <f>IF(G78="","",EXP(-G78/$B$3))</f>
        <v/>
      </c>
      <c r="I78" s="10">
        <f>IF(H78="","",H78/SUM(H$76:H$79))</f>
        <v/>
      </c>
      <c r="J78" s="10">
        <f>AVERAGE('Per-Trial Conf'!$F93:$H93)</f>
        <v/>
      </c>
      <c r="K78" s="10">
        <f>IF(COUNT('Per-Trial Conf'!$F93:$H93)&gt;1,STDEV('Per-Trial Conf'!$F93:$H93)/SQRT(COUNT('Per-Trial Conf'!$F93:$H93)),0)</f>
        <v/>
      </c>
      <c r="L78" s="10">
        <f>AVERAGE('Per-Trial Conf'!$I93:$K93)</f>
        <v/>
      </c>
      <c r="M78" s="10">
        <f>IF(COUNT('Per-Trial Conf'!$I93:$K93)&gt;1,STDEV('Per-Trial Conf'!$I93:$K93)/SQRT(COUNT('Per-Trial Conf'!$I93:$K93)),0)</f>
        <v/>
      </c>
    </row>
    <row r="79">
      <c r="A79" s="3" t="inlineStr">
        <is>
          <t>4ANS</t>
        </is>
      </c>
      <c r="B79" s="3" t="inlineStr">
        <is>
          <t>Crizotinib</t>
        </is>
      </c>
      <c r="C79" s="3" t="inlineStr">
        <is>
          <t>VGH 0</t>
        </is>
      </c>
      <c r="D79" s="3" t="inlineStr">
        <is>
          <t>N22, N25</t>
        </is>
      </c>
      <c r="E79" s="3" t="inlineStr">
        <is>
          <t>VGH01</t>
        </is>
      </c>
      <c r="F79" s="10">
        <f>'Per-Trial Conf'!$E94</f>
        <v/>
      </c>
      <c r="G79" s="10" t="n">
        <v>3.192</v>
      </c>
      <c r="H79" s="10">
        <f>IF(G79="","",EXP(-G79/$B$3))</f>
        <v/>
      </c>
      <c r="I79" s="10">
        <f>IF(H79="","",H79/SUM(H$76:H$79))</f>
        <v/>
      </c>
      <c r="J79" s="10">
        <f>AVERAGE('Per-Trial Conf'!$F94:$H94)</f>
        <v/>
      </c>
      <c r="K79" s="10">
        <f>IF(COUNT('Per-Trial Conf'!$F94:$H94)&gt;1,STDEV('Per-Trial Conf'!$F94:$H94)/SQRT(COUNT('Per-Trial Conf'!$F94:$H94)),0)</f>
        <v/>
      </c>
      <c r="L79" s="10">
        <f>AVERAGE('Per-Trial Conf'!$I94:$K94)</f>
        <v/>
      </c>
      <c r="M79" s="10">
        <f>IF(COUNT('Per-Trial Conf'!$I94:$K94)&gt;1,STDEV('Per-Trial Conf'!$I94:$K94)/SQRT(COUNT('Per-Trial Conf'!$I94:$K94)),0)</f>
        <v/>
      </c>
    </row>
    <row r="80">
      <c r="A80" s="6" t="n"/>
      <c r="B80" s="6" t="n"/>
      <c r="C80" s="6" t="n"/>
      <c r="D80" s="6" t="n"/>
      <c r="E80" s="6" t="inlineStr">
        <is>
          <t>SUM</t>
        </is>
      </c>
      <c r="F80" s="12" t="n"/>
      <c r="G80" s="12" t="n"/>
      <c r="H80" s="12">
        <f>SUM(H76:H79)</f>
        <v/>
      </c>
      <c r="I80" s="12">
        <f>SUM(I76:I79)</f>
        <v/>
      </c>
      <c r="J80" s="12">
        <f>SUM(J76:J79)</f>
        <v/>
      </c>
      <c r="K80" s="12" t="n"/>
      <c r="L80" s="12">
        <f>SUM(L76:L79)</f>
        <v/>
      </c>
      <c r="M80" s="12" t="n"/>
    </row>
    <row r="81">
      <c r="A81" s="6" t="n"/>
      <c r="B81" s="6" t="n"/>
      <c r="C81" s="6" t="n"/>
      <c r="D81" s="6" t="n"/>
      <c r="E81" s="6" t="inlineStr">
        <is>
          <t>ensemble charge</t>
        </is>
      </c>
      <c r="F81" s="12" t="n"/>
      <c r="G81" s="12" t="n"/>
      <c r="H81" s="12" t="n"/>
      <c r="I81" s="12">
        <f>SUMPRODUCT($F76:$F79,I76:I79)</f>
        <v/>
      </c>
      <c r="J81" s="12">
        <f>SUMPRODUCT($F76:$F79,J76:J79)</f>
        <v/>
      </c>
      <c r="K81" s="12" t="n"/>
      <c r="L81" s="12">
        <f>SUMPRODUCT($F76:$F79,L76:L79)</f>
        <v/>
      </c>
      <c r="M81" s="12" t="n"/>
    </row>
    <row r="83">
      <c r="A83" s="3" t="inlineStr">
        <is>
          <t>5AAA</t>
        </is>
      </c>
      <c r="B83" s="3" t="inlineStr">
        <is>
          <t>Crizotinib</t>
        </is>
      </c>
      <c r="C83" s="3" t="inlineStr">
        <is>
          <t>VGH+1a</t>
        </is>
      </c>
      <c r="D83" s="3" t="inlineStr">
        <is>
          <t>N22, N25</t>
        </is>
      </c>
      <c r="E83" s="3" t="inlineStr">
        <is>
          <t>VGH+1</t>
        </is>
      </c>
      <c r="F83" s="10">
        <f>'Per-Trial Conf'!$E128</f>
        <v/>
      </c>
      <c r="G83" s="10" t="n">
        <v>0.585</v>
      </c>
      <c r="H83" s="10">
        <f>IF(G83="","",EXP(-G83/$B$3))</f>
        <v/>
      </c>
      <c r="I83" s="10">
        <f>IF(H83="","",H83/SUM(H$83:H$86))</f>
        <v/>
      </c>
      <c r="J83" s="10">
        <f>AVERAGE('Per-Trial Conf'!$F128:$H128)</f>
        <v/>
      </c>
      <c r="K83" s="10">
        <f>IF(COUNT('Per-Trial Conf'!$F128:$H128)&gt;1,STDEV('Per-Trial Conf'!$F128:$H128)/SQRT(COUNT('Per-Trial Conf'!$F128:$H128)),0)</f>
        <v/>
      </c>
      <c r="L83" s="10">
        <f>AVERAGE('Per-Trial Conf'!$I128:$K128)</f>
        <v/>
      </c>
      <c r="M83" s="10">
        <f>IF(COUNT('Per-Trial Conf'!$I128:$K128)&gt;1,STDEV('Per-Trial Conf'!$I128:$K128)/SQRT(COUNT('Per-Trial Conf'!$I128:$K128)),0)</f>
        <v/>
      </c>
    </row>
    <row r="84">
      <c r="A84" s="3" t="inlineStr">
        <is>
          <t>5AAA</t>
        </is>
      </c>
      <c r="B84" s="3" t="inlineStr">
        <is>
          <t>Crizotinib</t>
        </is>
      </c>
      <c r="C84" s="3" t="inlineStr">
        <is>
          <t>VGH+1b</t>
        </is>
      </c>
      <c r="D84" s="3" t="inlineStr">
        <is>
          <t>N22, N23, N25</t>
        </is>
      </c>
      <c r="E84" s="3" t="inlineStr">
        <is>
          <t>VGH+2</t>
        </is>
      </c>
      <c r="F84" s="10">
        <f>'Per-Trial Conf'!$E129</f>
        <v/>
      </c>
      <c r="G84" s="10" t="n">
        <v>3.587</v>
      </c>
      <c r="H84" s="10">
        <f>IF(G84="","",EXP(-G84/$B$3))</f>
        <v/>
      </c>
      <c r="I84" s="10">
        <f>IF(H84="","",H84/SUM(H$83:H$86))</f>
        <v/>
      </c>
      <c r="J84" s="10">
        <f>AVERAGE('Per-Trial Conf'!$F129:$H129)</f>
        <v/>
      </c>
      <c r="K84" s="10">
        <f>IF(COUNT('Per-Trial Conf'!$F129:$H129)&gt;1,STDEV('Per-Trial Conf'!$F129:$H129)/SQRT(COUNT('Per-Trial Conf'!$F129:$H129)),0)</f>
        <v/>
      </c>
      <c r="L84" s="10">
        <f>AVERAGE('Per-Trial Conf'!$I129:$K129)</f>
        <v/>
      </c>
      <c r="M84" s="10">
        <f>IF(COUNT('Per-Trial Conf'!$I129:$K129)&gt;1,STDEV('Per-Trial Conf'!$I129:$K129)/SQRT(COUNT('Per-Trial Conf'!$I129:$K129)),0)</f>
        <v/>
      </c>
    </row>
    <row r="85">
      <c r="A85" s="3" t="inlineStr">
        <is>
          <t>5AAA</t>
        </is>
      </c>
      <c r="B85" s="3" t="inlineStr">
        <is>
          <t>Crizotinib</t>
        </is>
      </c>
      <c r="C85" s="3" t="inlineStr">
        <is>
          <t>VGH+2</t>
        </is>
      </c>
      <c r="D85" s="3" t="inlineStr">
        <is>
          <t>N22, N23, N25</t>
        </is>
      </c>
      <c r="E85" s="3" t="inlineStr">
        <is>
          <t>VGH+a</t>
        </is>
      </c>
      <c r="F85" s="10">
        <f>'Per-Trial Conf'!$E130</f>
        <v/>
      </c>
      <c r="G85" s="10" t="n">
        <v>0.283</v>
      </c>
      <c r="H85" s="10">
        <f>IF(G85="","",EXP(-G85/$B$3))</f>
        <v/>
      </c>
      <c r="I85" s="10">
        <f>IF(H85="","",H85/SUM(H$83:H$86))</f>
        <v/>
      </c>
      <c r="J85" s="10">
        <f>AVERAGE('Per-Trial Conf'!$F130:$H130)</f>
        <v/>
      </c>
      <c r="K85" s="10">
        <f>IF(COUNT('Per-Trial Conf'!$F130:$H130)&gt;1,STDEV('Per-Trial Conf'!$F130:$H130)/SQRT(COUNT('Per-Trial Conf'!$F130:$H130)),0)</f>
        <v/>
      </c>
      <c r="L85" s="10">
        <f>AVERAGE('Per-Trial Conf'!$I130:$K130)</f>
        <v/>
      </c>
      <c r="M85" s="10">
        <f>IF(COUNT('Per-Trial Conf'!$I130:$K130)&gt;1,STDEV('Per-Trial Conf'!$I130:$K130)/SQRT(COUNT('Per-Trial Conf'!$I130:$K130)),0)</f>
        <v/>
      </c>
    </row>
    <row r="86">
      <c r="A86" s="3" t="inlineStr">
        <is>
          <t>5AAA</t>
        </is>
      </c>
      <c r="B86" s="3" t="inlineStr">
        <is>
          <t>Crizotinib</t>
        </is>
      </c>
      <c r="C86" s="3" t="inlineStr">
        <is>
          <t>VGH 0</t>
        </is>
      </c>
      <c r="D86" s="3" t="inlineStr">
        <is>
          <t>N22, N25</t>
        </is>
      </c>
      <c r="E86" s="3" t="inlineStr">
        <is>
          <t>VGH01</t>
        </is>
      </c>
      <c r="F86" s="10">
        <f>'Per-Trial Conf'!$E131</f>
        <v/>
      </c>
      <c r="G86" s="10" t="n">
        <v>3.192</v>
      </c>
      <c r="H86" s="10">
        <f>IF(G86="","",EXP(-G86/$B$3))</f>
        <v/>
      </c>
      <c r="I86" s="10">
        <f>IF(H86="","",H86/SUM(H$83:H$86))</f>
        <v/>
      </c>
      <c r="J86" s="10">
        <f>AVERAGE('Per-Trial Conf'!$F131:$H131)</f>
        <v/>
      </c>
      <c r="K86" s="10">
        <f>IF(COUNT('Per-Trial Conf'!$F131:$H131)&gt;1,STDEV('Per-Trial Conf'!$F131:$H131)/SQRT(COUNT('Per-Trial Conf'!$F131:$H131)),0)</f>
        <v/>
      </c>
      <c r="L86" s="10">
        <f>AVERAGE('Per-Trial Conf'!$I131:$K131)</f>
        <v/>
      </c>
      <c r="M86" s="10">
        <f>IF(COUNT('Per-Trial Conf'!$I131:$K131)&gt;1,STDEV('Per-Trial Conf'!$I131:$K131)/SQRT(COUNT('Per-Trial Conf'!$I131:$K131)),0)</f>
        <v/>
      </c>
    </row>
    <row r="87">
      <c r="A87" s="6" t="n"/>
      <c r="B87" s="6" t="n"/>
      <c r="C87" s="6" t="n"/>
      <c r="D87" s="6" t="n"/>
      <c r="E87" s="6" t="inlineStr">
        <is>
          <t>SUM</t>
        </is>
      </c>
      <c r="F87" s="12" t="n"/>
      <c r="G87" s="12" t="n"/>
      <c r="H87" s="12">
        <f>SUM(H83:H86)</f>
        <v/>
      </c>
      <c r="I87" s="12">
        <f>SUM(I83:I86)</f>
        <v/>
      </c>
      <c r="J87" s="12">
        <f>SUM(J83:J86)</f>
        <v/>
      </c>
      <c r="K87" s="12" t="n"/>
      <c r="L87" s="12">
        <f>SUM(L83:L86)</f>
        <v/>
      </c>
      <c r="M87" s="12" t="n"/>
    </row>
    <row r="88">
      <c r="A88" s="6" t="n"/>
      <c r="B88" s="6" t="n"/>
      <c r="C88" s="6" t="n"/>
      <c r="D88" s="6" t="n"/>
      <c r="E88" s="6" t="inlineStr">
        <is>
          <t>ensemble charge</t>
        </is>
      </c>
      <c r="F88" s="12" t="n"/>
      <c r="G88" s="12" t="n"/>
      <c r="H88" s="12" t="n"/>
      <c r="I88" s="12">
        <f>SUMPRODUCT($F83:$F86,I83:I86)</f>
        <v/>
      </c>
      <c r="J88" s="12">
        <f>SUMPRODUCT($F83:$F86,J83:J86)</f>
        <v/>
      </c>
      <c r="K88" s="12" t="n"/>
      <c r="L88" s="12">
        <f>SUMPRODUCT($F83:$F86,L83:L86)</f>
        <v/>
      </c>
      <c r="M88" s="12" t="n"/>
    </row>
    <row r="90">
      <c r="A90" s="3" t="inlineStr">
        <is>
          <t>5AAB</t>
        </is>
      </c>
      <c r="B90" s="3" t="inlineStr">
        <is>
          <t>Crizotinib</t>
        </is>
      </c>
      <c r="C90" s="3" t="inlineStr">
        <is>
          <t>VGH+1a</t>
        </is>
      </c>
      <c r="D90" s="3" t="inlineStr">
        <is>
          <t>N22, N25</t>
        </is>
      </c>
      <c r="E90" s="3" t="inlineStr">
        <is>
          <t>VGH+1</t>
        </is>
      </c>
      <c r="F90" s="10">
        <f>'Per-Trial Conf'!$E132</f>
        <v/>
      </c>
      <c r="G90" s="10" t="n">
        <v>0.585</v>
      </c>
      <c r="H90" s="10">
        <f>IF(G90="","",EXP(-G90/$B$3))</f>
        <v/>
      </c>
      <c r="I90" s="10">
        <f>IF(H90="","",H90/SUM(H$90:H$93))</f>
        <v/>
      </c>
      <c r="J90" s="10">
        <f>AVERAGE('Per-Trial Conf'!$F132:$H132)</f>
        <v/>
      </c>
      <c r="K90" s="10">
        <f>IF(COUNT('Per-Trial Conf'!$F132:$H132)&gt;1,STDEV('Per-Trial Conf'!$F132:$H132)/SQRT(COUNT('Per-Trial Conf'!$F132:$H132)),0)</f>
        <v/>
      </c>
      <c r="L90" s="10">
        <f>AVERAGE('Per-Trial Conf'!$I132:$K132)</f>
        <v/>
      </c>
      <c r="M90" s="10">
        <f>IF(COUNT('Per-Trial Conf'!$I132:$K132)&gt;1,STDEV('Per-Trial Conf'!$I132:$K132)/SQRT(COUNT('Per-Trial Conf'!$I132:$K132)),0)</f>
        <v/>
      </c>
    </row>
    <row r="91">
      <c r="A91" s="3" t="inlineStr">
        <is>
          <t>5AAB</t>
        </is>
      </c>
      <c r="B91" s="3" t="inlineStr">
        <is>
          <t>Crizotinib</t>
        </is>
      </c>
      <c r="C91" s="3" t="inlineStr">
        <is>
          <t>VGH+1b</t>
        </is>
      </c>
      <c r="D91" s="3" t="inlineStr">
        <is>
          <t>N22, N23, N25</t>
        </is>
      </c>
      <c r="E91" s="3" t="inlineStr">
        <is>
          <t>VGH+2</t>
        </is>
      </c>
      <c r="F91" s="10">
        <f>'Per-Trial Conf'!$E133</f>
        <v/>
      </c>
      <c r="G91" s="10" t="n">
        <v>3.587</v>
      </c>
      <c r="H91" s="10">
        <f>IF(G91="","",EXP(-G91/$B$3))</f>
        <v/>
      </c>
      <c r="I91" s="10">
        <f>IF(H91="","",H91/SUM(H$90:H$93))</f>
        <v/>
      </c>
      <c r="J91" s="10">
        <f>AVERAGE('Per-Trial Conf'!$F133:$H133)</f>
        <v/>
      </c>
      <c r="K91" s="10">
        <f>IF(COUNT('Per-Trial Conf'!$F133:$H133)&gt;1,STDEV('Per-Trial Conf'!$F133:$H133)/SQRT(COUNT('Per-Trial Conf'!$F133:$H133)),0)</f>
        <v/>
      </c>
      <c r="L91" s="10">
        <f>AVERAGE('Per-Trial Conf'!$I133:$K133)</f>
        <v/>
      </c>
      <c r="M91" s="10">
        <f>IF(COUNT('Per-Trial Conf'!$I133:$K133)&gt;1,STDEV('Per-Trial Conf'!$I133:$K133)/SQRT(COUNT('Per-Trial Conf'!$I133:$K133)),0)</f>
        <v/>
      </c>
    </row>
    <row r="92">
      <c r="A92" s="3" t="inlineStr">
        <is>
          <t>5AAB</t>
        </is>
      </c>
      <c r="B92" s="3" t="inlineStr">
        <is>
          <t>Crizotinib</t>
        </is>
      </c>
      <c r="C92" s="3" t="inlineStr">
        <is>
          <t>VGH+2</t>
        </is>
      </c>
      <c r="D92" s="3" t="inlineStr">
        <is>
          <t>N22, N23, N25</t>
        </is>
      </c>
      <c r="E92" s="3" t="inlineStr">
        <is>
          <t>VGH+a</t>
        </is>
      </c>
      <c r="F92" s="10">
        <f>'Per-Trial Conf'!$E134</f>
        <v/>
      </c>
      <c r="G92" s="10" t="n">
        <v>0.283</v>
      </c>
      <c r="H92" s="10">
        <f>IF(G92="","",EXP(-G92/$B$3))</f>
        <v/>
      </c>
      <c r="I92" s="10">
        <f>IF(H92="","",H92/SUM(H$90:H$93))</f>
        <v/>
      </c>
      <c r="J92" s="10">
        <f>AVERAGE('Per-Trial Conf'!$F134:$H134)</f>
        <v/>
      </c>
      <c r="K92" s="10">
        <f>IF(COUNT('Per-Trial Conf'!$F134:$H134)&gt;1,STDEV('Per-Trial Conf'!$F134:$H134)/SQRT(COUNT('Per-Trial Conf'!$F134:$H134)),0)</f>
        <v/>
      </c>
      <c r="L92" s="10">
        <f>AVERAGE('Per-Trial Conf'!$I134:$K134)</f>
        <v/>
      </c>
      <c r="M92" s="10">
        <f>IF(COUNT('Per-Trial Conf'!$I134:$K134)&gt;1,STDEV('Per-Trial Conf'!$I134:$K134)/SQRT(COUNT('Per-Trial Conf'!$I134:$K134)),0)</f>
        <v/>
      </c>
    </row>
    <row r="93">
      <c r="A93" s="3" t="inlineStr">
        <is>
          <t>5AAB</t>
        </is>
      </c>
      <c r="B93" s="3" t="inlineStr">
        <is>
          <t>Crizotinib</t>
        </is>
      </c>
      <c r="C93" s="3" t="inlineStr">
        <is>
          <t>VGH 0</t>
        </is>
      </c>
      <c r="D93" s="3" t="inlineStr">
        <is>
          <t>N22, N25</t>
        </is>
      </c>
      <c r="E93" s="3" t="inlineStr">
        <is>
          <t>VGH01</t>
        </is>
      </c>
      <c r="F93" s="10">
        <f>'Per-Trial Conf'!$E135</f>
        <v/>
      </c>
      <c r="G93" s="10" t="n">
        <v>3.192</v>
      </c>
      <c r="H93" s="10">
        <f>IF(G93="","",EXP(-G93/$B$3))</f>
        <v/>
      </c>
      <c r="I93" s="10">
        <f>IF(H93="","",H93/SUM(H$90:H$93))</f>
        <v/>
      </c>
      <c r="J93" s="10">
        <f>AVERAGE('Per-Trial Conf'!$F135:$H135)</f>
        <v/>
      </c>
      <c r="K93" s="10">
        <f>IF(COUNT('Per-Trial Conf'!$F135:$H135)&gt;1,STDEV('Per-Trial Conf'!$F135:$H135)/SQRT(COUNT('Per-Trial Conf'!$F135:$H135)),0)</f>
        <v/>
      </c>
      <c r="L93" s="10">
        <f>AVERAGE('Per-Trial Conf'!$I135:$K135)</f>
        <v/>
      </c>
      <c r="M93" s="10">
        <f>IF(COUNT('Per-Trial Conf'!$I135:$K135)&gt;1,STDEV('Per-Trial Conf'!$I135:$K135)/SQRT(COUNT('Per-Trial Conf'!$I135:$K135)),0)</f>
        <v/>
      </c>
    </row>
    <row r="94">
      <c r="A94" s="6" t="n"/>
      <c r="B94" s="6" t="n"/>
      <c r="C94" s="6" t="n"/>
      <c r="D94" s="6" t="n"/>
      <c r="E94" s="6" t="inlineStr">
        <is>
          <t>SUM</t>
        </is>
      </c>
      <c r="F94" s="12" t="n"/>
      <c r="G94" s="12" t="n"/>
      <c r="H94" s="12">
        <f>SUM(H90:H93)</f>
        <v/>
      </c>
      <c r="I94" s="12">
        <f>SUM(I90:I93)</f>
        <v/>
      </c>
      <c r="J94" s="12">
        <f>SUM(J90:J93)</f>
        <v/>
      </c>
      <c r="K94" s="12" t="n"/>
      <c r="L94" s="12">
        <f>SUM(L90:L93)</f>
        <v/>
      </c>
      <c r="M94" s="12" t="n"/>
    </row>
    <row r="95">
      <c r="A95" s="6" t="n"/>
      <c r="B95" s="6" t="n"/>
      <c r="C95" s="6" t="n"/>
      <c r="D95" s="6" t="n"/>
      <c r="E95" s="6" t="inlineStr">
        <is>
          <t>ensemble charge</t>
        </is>
      </c>
      <c r="F95" s="12" t="n"/>
      <c r="G95" s="12" t="n"/>
      <c r="H95" s="12" t="n"/>
      <c r="I95" s="12">
        <f>SUMPRODUCT($F90:$F93,I90:I93)</f>
        <v/>
      </c>
      <c r="J95" s="12">
        <f>SUMPRODUCT($F90:$F93,J90:J93)</f>
        <v/>
      </c>
      <c r="K95" s="12" t="n"/>
      <c r="L95" s="12">
        <f>SUMPRODUCT($F90:$F93,L90:L93)</f>
        <v/>
      </c>
      <c r="M95" s="12" t="n"/>
    </row>
    <row r="97">
      <c r="A97" s="3" t="inlineStr">
        <is>
          <t>5AAC</t>
        </is>
      </c>
      <c r="B97" s="3" t="inlineStr">
        <is>
          <t>Crizotinib</t>
        </is>
      </c>
      <c r="C97" s="3" t="inlineStr">
        <is>
          <t>VGH+1a</t>
        </is>
      </c>
      <c r="D97" s="3" t="inlineStr">
        <is>
          <t>N22, N25</t>
        </is>
      </c>
      <c r="E97" s="3" t="inlineStr">
        <is>
          <t>VGH+1</t>
        </is>
      </c>
      <c r="F97" s="10">
        <f>'Per-Trial Conf'!$E136</f>
        <v/>
      </c>
      <c r="G97" s="10" t="n">
        <v>0.585</v>
      </c>
      <c r="H97" s="10">
        <f>IF(G97="","",EXP(-G97/$B$3))</f>
        <v/>
      </c>
      <c r="I97" s="10">
        <f>IF(H97="","",H97/SUM(H$97:H$100))</f>
        <v/>
      </c>
      <c r="J97" s="10">
        <f>AVERAGE('Per-Trial Conf'!$F136:$H136)</f>
        <v/>
      </c>
      <c r="K97" s="10">
        <f>IF(COUNT('Per-Trial Conf'!$F136:$H136)&gt;1,STDEV('Per-Trial Conf'!$F136:$H136)/SQRT(COUNT('Per-Trial Conf'!$F136:$H136)),0)</f>
        <v/>
      </c>
      <c r="L97" s="10">
        <f>AVERAGE('Per-Trial Conf'!$I136:$K136)</f>
        <v/>
      </c>
      <c r="M97" s="10">
        <f>IF(COUNT('Per-Trial Conf'!$I136:$K136)&gt;1,STDEV('Per-Trial Conf'!$I136:$K136)/SQRT(COUNT('Per-Trial Conf'!$I136:$K136)),0)</f>
        <v/>
      </c>
    </row>
    <row r="98">
      <c r="A98" s="3" t="inlineStr">
        <is>
          <t>5AAC</t>
        </is>
      </c>
      <c r="B98" s="3" t="inlineStr">
        <is>
          <t>Crizotinib</t>
        </is>
      </c>
      <c r="C98" s="3" t="inlineStr">
        <is>
          <t>VGH+1b</t>
        </is>
      </c>
      <c r="D98" s="3" t="inlineStr">
        <is>
          <t>N22, N23, N25</t>
        </is>
      </c>
      <c r="E98" s="3" t="inlineStr">
        <is>
          <t>VGH+2</t>
        </is>
      </c>
      <c r="F98" s="10">
        <f>'Per-Trial Conf'!$E137</f>
        <v/>
      </c>
      <c r="G98" s="10" t="n">
        <v>3.587</v>
      </c>
      <c r="H98" s="10">
        <f>IF(G98="","",EXP(-G98/$B$3))</f>
        <v/>
      </c>
      <c r="I98" s="10">
        <f>IF(H98="","",H98/SUM(H$97:H$100))</f>
        <v/>
      </c>
      <c r="J98" s="10">
        <f>AVERAGE('Per-Trial Conf'!$F137:$H137)</f>
        <v/>
      </c>
      <c r="K98" s="10">
        <f>IF(COUNT('Per-Trial Conf'!$F137:$H137)&gt;1,STDEV('Per-Trial Conf'!$F137:$H137)/SQRT(COUNT('Per-Trial Conf'!$F137:$H137)),0)</f>
        <v/>
      </c>
      <c r="L98" s="10">
        <f>AVERAGE('Per-Trial Conf'!$I137:$K137)</f>
        <v/>
      </c>
      <c r="M98" s="10">
        <f>IF(COUNT('Per-Trial Conf'!$I137:$K137)&gt;1,STDEV('Per-Trial Conf'!$I137:$K137)/SQRT(COUNT('Per-Trial Conf'!$I137:$K137)),0)</f>
        <v/>
      </c>
    </row>
    <row r="99">
      <c r="A99" s="3" t="inlineStr">
        <is>
          <t>5AAC</t>
        </is>
      </c>
      <c r="B99" s="3" t="inlineStr">
        <is>
          <t>Crizotinib</t>
        </is>
      </c>
      <c r="C99" s="3" t="inlineStr">
        <is>
          <t>VGH+2</t>
        </is>
      </c>
      <c r="D99" s="3" t="inlineStr">
        <is>
          <t>N22, N23, N25</t>
        </is>
      </c>
      <c r="E99" s="3" t="inlineStr">
        <is>
          <t>VGH+a</t>
        </is>
      </c>
      <c r="F99" s="10">
        <f>'Per-Trial Conf'!$E138</f>
        <v/>
      </c>
      <c r="G99" s="10" t="n">
        <v>0.283</v>
      </c>
      <c r="H99" s="10">
        <f>IF(G99="","",EXP(-G99/$B$3))</f>
        <v/>
      </c>
      <c r="I99" s="10">
        <f>IF(H99="","",H99/SUM(H$97:H$100))</f>
        <v/>
      </c>
      <c r="J99" s="10">
        <f>AVERAGE('Per-Trial Conf'!$F138:$H138)</f>
        <v/>
      </c>
      <c r="K99" s="10">
        <f>IF(COUNT('Per-Trial Conf'!$F138:$H138)&gt;1,STDEV('Per-Trial Conf'!$F138:$H138)/SQRT(COUNT('Per-Trial Conf'!$F138:$H138)),0)</f>
        <v/>
      </c>
      <c r="L99" s="10">
        <f>AVERAGE('Per-Trial Conf'!$I138:$K138)</f>
        <v/>
      </c>
      <c r="M99" s="10">
        <f>IF(COUNT('Per-Trial Conf'!$I138:$K138)&gt;1,STDEV('Per-Trial Conf'!$I138:$K138)/SQRT(COUNT('Per-Trial Conf'!$I138:$K138)),0)</f>
        <v/>
      </c>
    </row>
    <row r="100">
      <c r="A100" s="3" t="inlineStr">
        <is>
          <t>5AAC</t>
        </is>
      </c>
      <c r="B100" s="3" t="inlineStr">
        <is>
          <t>Crizotinib</t>
        </is>
      </c>
      <c r="C100" s="3" t="inlineStr">
        <is>
          <t>VGH 0</t>
        </is>
      </c>
      <c r="D100" s="3" t="inlineStr">
        <is>
          <t>N22, N25</t>
        </is>
      </c>
      <c r="E100" s="3" t="inlineStr">
        <is>
          <t>VGH01</t>
        </is>
      </c>
      <c r="F100" s="10">
        <f>'Per-Trial Conf'!$E139</f>
        <v/>
      </c>
      <c r="G100" s="10" t="n">
        <v>3.192</v>
      </c>
      <c r="H100" s="10">
        <f>IF(G100="","",EXP(-G100/$B$3))</f>
        <v/>
      </c>
      <c r="I100" s="10">
        <f>IF(H100="","",H100/SUM(H$97:H$100))</f>
        <v/>
      </c>
      <c r="J100" s="10">
        <f>AVERAGE('Per-Trial Conf'!$F139:$H139)</f>
        <v/>
      </c>
      <c r="K100" s="10">
        <f>IF(COUNT('Per-Trial Conf'!$F139:$H139)&gt;1,STDEV('Per-Trial Conf'!$F139:$H139)/SQRT(COUNT('Per-Trial Conf'!$F139:$H139)),0)</f>
        <v/>
      </c>
      <c r="L100" s="10">
        <f>AVERAGE('Per-Trial Conf'!$I139:$K139)</f>
        <v/>
      </c>
      <c r="M100" s="10">
        <f>IF(COUNT('Per-Trial Conf'!$I139:$K139)&gt;1,STDEV('Per-Trial Conf'!$I139:$K139)/SQRT(COUNT('Per-Trial Conf'!$I139:$K139)),0)</f>
        <v/>
      </c>
    </row>
    <row r="101">
      <c r="A101" s="6" t="n"/>
      <c r="B101" s="6" t="n"/>
      <c r="C101" s="6" t="n"/>
      <c r="D101" s="6" t="n"/>
      <c r="E101" s="6" t="inlineStr">
        <is>
          <t>SUM</t>
        </is>
      </c>
      <c r="F101" s="12" t="n"/>
      <c r="G101" s="12" t="n"/>
      <c r="H101" s="12">
        <f>SUM(H97:H100)</f>
        <v/>
      </c>
      <c r="I101" s="12">
        <f>SUM(I97:I100)</f>
        <v/>
      </c>
      <c r="J101" s="12">
        <f>SUM(J97:J100)</f>
        <v/>
      </c>
      <c r="K101" s="12" t="n"/>
      <c r="L101" s="12">
        <f>SUM(L97:L100)</f>
        <v/>
      </c>
      <c r="M101" s="12" t="n"/>
    </row>
    <row r="102">
      <c r="A102" s="6" t="n"/>
      <c r="B102" s="6" t="n"/>
      <c r="C102" s="6" t="n"/>
      <c r="D102" s="6" t="n"/>
      <c r="E102" s="6" t="inlineStr">
        <is>
          <t>ensemble charge</t>
        </is>
      </c>
      <c r="F102" s="12" t="n"/>
      <c r="G102" s="12" t="n"/>
      <c r="H102" s="12" t="n"/>
      <c r="I102" s="12">
        <f>SUMPRODUCT($F97:$F100,I97:I100)</f>
        <v/>
      </c>
      <c r="J102" s="12">
        <f>SUMPRODUCT($F97:$F100,J97:J100)</f>
        <v/>
      </c>
      <c r="K102" s="12" t="n"/>
      <c r="L102" s="12">
        <f>SUMPRODUCT($F97:$F100,L97:L100)</f>
        <v/>
      </c>
      <c r="M102" s="12" t="n"/>
    </row>
    <row r="104">
      <c r="A104" s="7" t="n"/>
      <c r="B104" s="8" t="inlineStr">
        <is>
          <t>CDK6: Cyclin Dependent Kinase 6</t>
        </is>
      </c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</row>
    <row r="105">
      <c r="A105" s="3" t="inlineStr">
        <is>
          <t>2EUF</t>
        </is>
      </c>
      <c r="B105" s="3" t="inlineStr">
        <is>
          <t>Palbociclib</t>
        </is>
      </c>
      <c r="C105" s="3" t="inlineStr">
        <is>
          <t>LQQ+1</t>
        </is>
      </c>
      <c r="D105" s="3" t="inlineStr">
        <is>
          <t>N04, N07</t>
        </is>
      </c>
      <c r="E105" s="3" t="inlineStr">
        <is>
          <t>LQQ+1</t>
        </is>
      </c>
      <c r="F105" s="10">
        <f>'Per-Trial Conf'!$E6</f>
        <v/>
      </c>
      <c r="G105" s="10" t="n">
        <v>0.256</v>
      </c>
      <c r="H105" s="10">
        <f>IF(G105="","",EXP(-G105/$B$3))</f>
        <v/>
      </c>
      <c r="I105" s="10">
        <f>IF(H105="","",H105/SUM(H$105:H$106))</f>
        <v/>
      </c>
      <c r="J105" s="10">
        <f>AVERAGE('Per-Trial Conf'!$F6:$H6)</f>
        <v/>
      </c>
      <c r="K105" s="10">
        <f>IF(COUNT('Per-Trial Conf'!$F6:$H6)&gt;1,STDEV('Per-Trial Conf'!$F6:$H6)/SQRT(COUNT('Per-Trial Conf'!$F6:$H6)),0)</f>
        <v/>
      </c>
      <c r="L105" s="10">
        <f>AVERAGE('Per-Trial Conf'!$I6:$K6)</f>
        <v/>
      </c>
      <c r="M105" s="10">
        <f>IF(COUNT('Per-Trial Conf'!$I6:$K6)&gt;1,STDEV('Per-Trial Conf'!$I6:$K6)/SQRT(COUNT('Per-Trial Conf'!$I6:$K6)),0)</f>
        <v/>
      </c>
    </row>
    <row r="106">
      <c r="A106" s="3" t="inlineStr">
        <is>
          <t>2EUF</t>
        </is>
      </c>
      <c r="B106" s="3" t="inlineStr">
        <is>
          <t>Palbociclib</t>
        </is>
      </c>
      <c r="C106" s="3" t="inlineStr">
        <is>
          <t>LQQ 0</t>
        </is>
      </c>
      <c r="D106" s="3" t="inlineStr">
        <is>
          <t>N04, N07</t>
        </is>
      </c>
      <c r="E106" s="3" t="inlineStr">
        <is>
          <t>LQQ01</t>
        </is>
      </c>
      <c r="F106" s="10">
        <f>'Per-Trial Conf'!$E7</f>
        <v/>
      </c>
      <c r="G106" s="10" t="n">
        <v>2.434</v>
      </c>
      <c r="H106" s="10">
        <f>IF(G106="","",EXP(-G106/$B$3))</f>
        <v/>
      </c>
      <c r="I106" s="10">
        <f>IF(H106="","",H106/SUM(H$105:H$106))</f>
        <v/>
      </c>
      <c r="J106" s="10">
        <f>AVERAGE('Per-Trial Conf'!$F7:$H7)</f>
        <v/>
      </c>
      <c r="K106" s="10">
        <f>IF(COUNT('Per-Trial Conf'!$F7:$H7)&gt;1,STDEV('Per-Trial Conf'!$F7:$H7)/SQRT(COUNT('Per-Trial Conf'!$F7:$H7)),0)</f>
        <v/>
      </c>
      <c r="L106" s="10">
        <f>AVERAGE('Per-Trial Conf'!$I7:$K7)</f>
        <v/>
      </c>
      <c r="M106" s="10">
        <f>IF(COUNT('Per-Trial Conf'!$I7:$K7)&gt;1,STDEV('Per-Trial Conf'!$I7:$K7)/SQRT(COUNT('Per-Trial Conf'!$I7:$K7)),0)</f>
        <v/>
      </c>
    </row>
    <row r="107">
      <c r="A107" s="6" t="n"/>
      <c r="B107" s="6" t="n"/>
      <c r="C107" s="6" t="n"/>
      <c r="D107" s="6" t="n"/>
      <c r="E107" s="6" t="inlineStr">
        <is>
          <t>SUM</t>
        </is>
      </c>
      <c r="F107" s="12" t="n"/>
      <c r="G107" s="12" t="n"/>
      <c r="H107" s="12">
        <f>SUM(H105:H106)</f>
        <v/>
      </c>
      <c r="I107" s="12">
        <f>SUM(I105:I106)</f>
        <v/>
      </c>
      <c r="J107" s="12">
        <f>SUM(J105:J106)</f>
        <v/>
      </c>
      <c r="K107" s="12" t="n"/>
      <c r="L107" s="12">
        <f>SUM(L105:L106)</f>
        <v/>
      </c>
      <c r="M107" s="12" t="n"/>
    </row>
    <row r="108">
      <c r="A108" s="6" t="n"/>
      <c r="B108" s="6" t="n"/>
      <c r="C108" s="6" t="n"/>
      <c r="D108" s="6" t="n"/>
      <c r="E108" s="6" t="inlineStr">
        <is>
          <t>ensemble charge</t>
        </is>
      </c>
      <c r="F108" s="12" t="n"/>
      <c r="G108" s="12" t="n"/>
      <c r="H108" s="12" t="n"/>
      <c r="I108" s="12">
        <f>SUMPRODUCT($F105:$F106,I105:I106)</f>
        <v/>
      </c>
      <c r="J108" s="12">
        <f>SUMPRODUCT($F105:$F106,J105:J106)</f>
        <v/>
      </c>
      <c r="K108" s="12" t="n"/>
      <c r="L108" s="12">
        <f>SUMPRODUCT($F105:$F106,L105:L106)</f>
        <v/>
      </c>
      <c r="M108" s="12" t="n"/>
    </row>
    <row r="110">
      <c r="A110" s="3" t="inlineStr">
        <is>
          <t>5L2I</t>
        </is>
      </c>
      <c r="B110" s="3" t="inlineStr">
        <is>
          <t>Palbociclib</t>
        </is>
      </c>
      <c r="C110" s="3" t="inlineStr">
        <is>
          <t>LQQ+1</t>
        </is>
      </c>
      <c r="D110" s="3" t="inlineStr">
        <is>
          <t>N04, N07</t>
        </is>
      </c>
      <c r="E110" s="3" t="inlineStr">
        <is>
          <t>LQQ+1</t>
        </is>
      </c>
      <c r="F110" s="10">
        <f>'Per-Trial Conf'!$E140</f>
        <v/>
      </c>
      <c r="G110" s="10" t="n">
        <v>0.256</v>
      </c>
      <c r="H110" s="10">
        <f>IF(G110="","",EXP(-G110/$B$3))</f>
        <v/>
      </c>
      <c r="I110" s="10">
        <f>IF(H110="","",H110/SUM(H$110:H$111))</f>
        <v/>
      </c>
      <c r="J110" s="10">
        <f>AVERAGE('Per-Trial Conf'!$F140:$H140)</f>
        <v/>
      </c>
      <c r="K110" s="10">
        <f>IF(COUNT('Per-Trial Conf'!$F140:$H140)&gt;1,STDEV('Per-Trial Conf'!$F140:$H140)/SQRT(COUNT('Per-Trial Conf'!$F140:$H140)),0)</f>
        <v/>
      </c>
      <c r="L110" s="10">
        <f>AVERAGE('Per-Trial Conf'!$I140:$K140)</f>
        <v/>
      </c>
      <c r="M110" s="10">
        <f>IF(COUNT('Per-Trial Conf'!$I140:$K140)&gt;1,STDEV('Per-Trial Conf'!$I140:$K140)/SQRT(COUNT('Per-Trial Conf'!$I140:$K140)),0)</f>
        <v/>
      </c>
    </row>
    <row r="111">
      <c r="A111" s="3" t="inlineStr">
        <is>
          <t>5L2I</t>
        </is>
      </c>
      <c r="B111" s="3" t="inlineStr">
        <is>
          <t>Palbociclib</t>
        </is>
      </c>
      <c r="C111" s="3" t="inlineStr">
        <is>
          <t>LQQ 0</t>
        </is>
      </c>
      <c r="D111" s="3" t="inlineStr">
        <is>
          <t>N04, N07</t>
        </is>
      </c>
      <c r="E111" s="3" t="inlineStr">
        <is>
          <t>LQQ01</t>
        </is>
      </c>
      <c r="F111" s="10">
        <f>'Per-Trial Conf'!$E141</f>
        <v/>
      </c>
      <c r="G111" s="10" t="n">
        <v>2.434</v>
      </c>
      <c r="H111" s="10">
        <f>IF(G111="","",EXP(-G111/$B$3))</f>
        <v/>
      </c>
      <c r="I111" s="10">
        <f>IF(H111="","",H111/SUM(H$110:H$111))</f>
        <v/>
      </c>
      <c r="J111" s="10">
        <f>AVERAGE('Per-Trial Conf'!$F141:$H141)</f>
        <v/>
      </c>
      <c r="K111" s="10">
        <f>IF(COUNT('Per-Trial Conf'!$F141:$H141)&gt;1,STDEV('Per-Trial Conf'!$F141:$H141)/SQRT(COUNT('Per-Trial Conf'!$F141:$H141)),0)</f>
        <v/>
      </c>
      <c r="L111" s="10">
        <f>AVERAGE('Per-Trial Conf'!$I141:$K141)</f>
        <v/>
      </c>
      <c r="M111" s="10">
        <f>IF(COUNT('Per-Trial Conf'!$I141:$K141)&gt;1,STDEV('Per-Trial Conf'!$I141:$K141)/SQRT(COUNT('Per-Trial Conf'!$I141:$K141)),0)</f>
        <v/>
      </c>
    </row>
    <row r="112">
      <c r="A112" s="6" t="n"/>
      <c r="B112" s="6" t="n"/>
      <c r="C112" s="6" t="n"/>
      <c r="D112" s="6" t="n"/>
      <c r="E112" s="6" t="inlineStr">
        <is>
          <t>SUM</t>
        </is>
      </c>
      <c r="F112" s="12" t="n"/>
      <c r="G112" s="12" t="n"/>
      <c r="H112" s="12">
        <f>SUM(H110:H111)</f>
        <v/>
      </c>
      <c r="I112" s="12">
        <f>SUM(I110:I111)</f>
        <v/>
      </c>
      <c r="J112" s="12">
        <f>SUM(J110:J111)</f>
        <v/>
      </c>
      <c r="K112" s="12" t="n"/>
      <c r="L112" s="12">
        <f>SUM(L110:L111)</f>
        <v/>
      </c>
      <c r="M112" s="12" t="n"/>
    </row>
    <row r="113">
      <c r="A113" s="6" t="n"/>
      <c r="B113" s="6" t="n"/>
      <c r="C113" s="6" t="n"/>
      <c r="D113" s="6" t="n"/>
      <c r="E113" s="6" t="inlineStr">
        <is>
          <t>ensemble charge</t>
        </is>
      </c>
      <c r="F113" s="12" t="n"/>
      <c r="G113" s="12" t="n"/>
      <c r="H113" s="12" t="n"/>
      <c r="I113" s="12">
        <f>SUMPRODUCT($F110:$F111,I110:I111)</f>
        <v/>
      </c>
      <c r="J113" s="12">
        <f>SUMPRODUCT($F110:$F111,J110:J111)</f>
        <v/>
      </c>
      <c r="K113" s="12" t="n"/>
      <c r="L113" s="12">
        <f>SUMPRODUCT($F110:$F111,L110:L111)</f>
        <v/>
      </c>
      <c r="M113" s="12" t="n"/>
    </row>
    <row r="115">
      <c r="A115" s="7" t="n"/>
      <c r="B115" s="8" t="inlineStr">
        <is>
          <t>DDR1: Discoidin Domain Receptor Tyrosine Kinase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</row>
    <row r="116">
      <c r="A116" s="3" t="inlineStr">
        <is>
          <t>3ZOS (buried)</t>
        </is>
      </c>
      <c r="B116" s="3" t="inlineStr">
        <is>
          <t>Ponatinib</t>
        </is>
      </c>
      <c r="C116" s="3" t="inlineStr">
        <is>
          <t>0LI+1a</t>
        </is>
      </c>
      <c r="D116" s="3" t="inlineStr">
        <is>
          <t>N2, N3</t>
        </is>
      </c>
      <c r="E116" s="3" t="inlineStr">
        <is>
          <t>0LI+1</t>
        </is>
      </c>
      <c r="F116" s="10">
        <f>'Per-Trial Conf'!$E68</f>
        <v/>
      </c>
      <c r="G116" s="10" t="n">
        <v>0.316</v>
      </c>
      <c r="H116" s="10">
        <f>IF(G116="","",EXP(-G116/$B$3))</f>
        <v/>
      </c>
      <c r="I116" s="10">
        <f>IF(H116="","",H116/SUM(H$116:H$118))</f>
        <v/>
      </c>
      <c r="J116" s="10">
        <f>AVERAGE('Per-Trial Conf'!$F68:$H68)</f>
        <v/>
      </c>
      <c r="K116" s="10">
        <f>IF(COUNT('Per-Trial Conf'!$F68:$H68)&gt;1,STDEV('Per-Trial Conf'!$F68:$H68)/SQRT(COUNT('Per-Trial Conf'!$F68:$H68)),0)</f>
        <v/>
      </c>
      <c r="L116" s="10">
        <f>AVERAGE('Per-Trial Conf'!$I68:$K68)</f>
        <v/>
      </c>
      <c r="M116" s="10">
        <f>IF(COUNT('Per-Trial Conf'!$I68:$K68)&gt;1,STDEV('Per-Trial Conf'!$I68:$K68)/SQRT(COUNT('Per-Trial Conf'!$I68:$K68)),0)</f>
        <v/>
      </c>
    </row>
    <row r="117">
      <c r="A117" s="3" t="inlineStr">
        <is>
          <t>3ZOS (buried)</t>
        </is>
      </c>
      <c r="B117" s="3" t="inlineStr">
        <is>
          <t>Ponatinib</t>
        </is>
      </c>
      <c r="C117" s="3" t="inlineStr">
        <is>
          <t>0LI+1b</t>
        </is>
      </c>
      <c r="D117" s="3" t="inlineStr">
        <is>
          <t>N2, N4</t>
        </is>
      </c>
      <c r="E117" s="3" t="inlineStr">
        <is>
          <t>0LI+2</t>
        </is>
      </c>
      <c r="F117" s="10">
        <f>'Per-Trial Conf'!$E69</f>
        <v/>
      </c>
      <c r="G117" s="10" t="n">
        <v>0.573</v>
      </c>
      <c r="H117" s="10">
        <f>IF(G117="","",EXP(-G117/$B$3))</f>
        <v/>
      </c>
      <c r="I117" s="10">
        <f>IF(H117="","",H117/SUM(H$116:H$118))</f>
        <v/>
      </c>
      <c r="J117" s="10">
        <f>AVERAGE('Per-Trial Conf'!$F69:$H69)</f>
        <v/>
      </c>
      <c r="K117" s="10">
        <f>IF(COUNT('Per-Trial Conf'!$F69:$H69)&gt;1,STDEV('Per-Trial Conf'!$F69:$H69)/SQRT(COUNT('Per-Trial Conf'!$F69:$H69)),0)</f>
        <v/>
      </c>
      <c r="L117" s="10">
        <f>AVERAGE('Per-Trial Conf'!$I69:$K69)</f>
        <v/>
      </c>
      <c r="M117" s="10">
        <f>IF(COUNT('Per-Trial Conf'!$I69:$K69)&gt;1,STDEV('Per-Trial Conf'!$I69:$K69)/SQRT(COUNT('Per-Trial Conf'!$I69:$K69)),0)</f>
        <v/>
      </c>
    </row>
    <row r="118">
      <c r="A118" s="3" t="inlineStr">
        <is>
          <t>3ZOS (buried)</t>
        </is>
      </c>
      <c r="B118" s="3" t="inlineStr">
        <is>
          <t>Ponatinib</t>
        </is>
      </c>
      <c r="C118" s="3" t="inlineStr">
        <is>
          <t>0LI 0</t>
        </is>
      </c>
      <c r="D118" s="3" t="inlineStr">
        <is>
          <t>N2</t>
        </is>
      </c>
      <c r="E118" s="3" t="inlineStr">
        <is>
          <t>0LI01</t>
        </is>
      </c>
      <c r="F118" s="10">
        <f>'Per-Trial Conf'!$E70</f>
        <v/>
      </c>
      <c r="G118" s="10" t="n">
        <v>2.03</v>
      </c>
      <c r="H118" s="10">
        <f>IF(G118="","",EXP(-G118/$B$3))</f>
        <v/>
      </c>
      <c r="I118" s="10">
        <f>IF(H118="","",H118/SUM(H$116:H$118))</f>
        <v/>
      </c>
      <c r="J118" s="10">
        <f>AVERAGE('Per-Trial Conf'!$F70:$H70)</f>
        <v/>
      </c>
      <c r="K118" s="10">
        <f>IF(COUNT('Per-Trial Conf'!$F70:$H70)&gt;1,STDEV('Per-Trial Conf'!$F70:$H70)/SQRT(COUNT('Per-Trial Conf'!$F70:$H70)),0)</f>
        <v/>
      </c>
      <c r="L118" s="10">
        <f>AVERAGE('Per-Trial Conf'!$I70:$K70)</f>
        <v/>
      </c>
      <c r="M118" s="10">
        <f>IF(COUNT('Per-Trial Conf'!$I70:$K70)&gt;1,STDEV('Per-Trial Conf'!$I70:$K70)/SQRT(COUNT('Per-Trial Conf'!$I70:$K70)),0)</f>
        <v/>
      </c>
    </row>
    <row r="119">
      <c r="A119" s="6" t="n"/>
      <c r="B119" s="6" t="n"/>
      <c r="C119" s="6" t="n"/>
      <c r="D119" s="6" t="n"/>
      <c r="E119" s="6" t="inlineStr">
        <is>
          <t>SUM</t>
        </is>
      </c>
      <c r="F119" s="12" t="n"/>
      <c r="G119" s="12" t="n"/>
      <c r="H119" s="12">
        <f>SUM(H116:H118)</f>
        <v/>
      </c>
      <c r="I119" s="12">
        <f>SUM(I116:I118)</f>
        <v/>
      </c>
      <c r="J119" s="12">
        <f>SUM(J116:J118)</f>
        <v/>
      </c>
      <c r="K119" s="12" t="n"/>
      <c r="L119" s="12">
        <f>SUM(L116:L118)</f>
        <v/>
      </c>
      <c r="M119" s="12" t="n"/>
    </row>
    <row r="120">
      <c r="A120" s="6" t="n"/>
      <c r="B120" s="6" t="n"/>
      <c r="C120" s="6" t="n"/>
      <c r="D120" s="6" t="n"/>
      <c r="E120" s="6" t="inlineStr">
        <is>
          <t>ensemble charge</t>
        </is>
      </c>
      <c r="F120" s="12" t="n"/>
      <c r="G120" s="12" t="n"/>
      <c r="H120" s="12" t="n"/>
      <c r="I120" s="12">
        <f>SUMPRODUCT($F116:$F118,I116:I118)</f>
        <v/>
      </c>
      <c r="J120" s="12">
        <f>SUMPRODUCT($F116:$F118,J116:J118)</f>
        <v/>
      </c>
      <c r="K120" s="12" t="n"/>
      <c r="L120" s="12">
        <f>SUMPRODUCT($F116:$F118,L116:L118)</f>
        <v/>
      </c>
      <c r="M120" s="12" t="n"/>
    </row>
    <row r="122">
      <c r="A122" s="3" t="inlineStr">
        <is>
          <t>3ZOS (surface)</t>
        </is>
      </c>
      <c r="B122" s="3" t="inlineStr">
        <is>
          <t>Ponatinib</t>
        </is>
      </c>
      <c r="C122" s="3" t="inlineStr">
        <is>
          <t>0LI+1a</t>
        </is>
      </c>
      <c r="D122" s="3" t="inlineStr">
        <is>
          <t>N2, N3</t>
        </is>
      </c>
      <c r="E122" s="3" t="inlineStr">
        <is>
          <t>0LI+1</t>
        </is>
      </c>
      <c r="F122" s="10">
        <f>'Per-Trial Conf'!$E71</f>
        <v/>
      </c>
      <c r="G122" s="10" t="n">
        <v>0.316</v>
      </c>
      <c r="H122" s="10">
        <f>IF(G122="","",EXP(-G122/$B$3))</f>
        <v/>
      </c>
      <c r="I122" s="10">
        <f>IF(H122="","",H122/SUM(H$122:H$124))</f>
        <v/>
      </c>
      <c r="J122" s="10">
        <f>AVERAGE('Per-Trial Conf'!$F71:$H71)</f>
        <v/>
      </c>
      <c r="K122" s="10">
        <f>IF(COUNT('Per-Trial Conf'!$F71:$H71)&gt;1,STDEV('Per-Trial Conf'!$F71:$H71)/SQRT(COUNT('Per-Trial Conf'!$F71:$H71)),0)</f>
        <v/>
      </c>
      <c r="L122" s="10">
        <f>AVERAGE('Per-Trial Conf'!$I71:$K71)</f>
        <v/>
      </c>
      <c r="M122" s="10">
        <f>IF(COUNT('Per-Trial Conf'!$I71:$K71)&gt;1,STDEV('Per-Trial Conf'!$I71:$K71)/SQRT(COUNT('Per-Trial Conf'!$I71:$K71)),0)</f>
        <v/>
      </c>
    </row>
    <row r="123">
      <c r="A123" s="3" t="inlineStr">
        <is>
          <t>3ZOS (surface)</t>
        </is>
      </c>
      <c r="B123" s="3" t="inlineStr">
        <is>
          <t>Ponatinib</t>
        </is>
      </c>
      <c r="C123" s="3" t="inlineStr">
        <is>
          <t>0LI+1b</t>
        </is>
      </c>
      <c r="D123" s="3" t="inlineStr">
        <is>
          <t>N2, N4</t>
        </is>
      </c>
      <c r="E123" s="3" t="inlineStr">
        <is>
          <t>0LI+2</t>
        </is>
      </c>
      <c r="F123" s="10">
        <f>'Per-Trial Conf'!$E72</f>
        <v/>
      </c>
      <c r="G123" s="10" t="n">
        <v>0.573</v>
      </c>
      <c r="H123" s="10">
        <f>IF(G123="","",EXP(-G123/$B$3))</f>
        <v/>
      </c>
      <c r="I123" s="10">
        <f>IF(H123="","",H123/SUM(H$122:H$124))</f>
        <v/>
      </c>
      <c r="J123" s="10">
        <f>AVERAGE('Per-Trial Conf'!$F72:$H72)</f>
        <v/>
      </c>
      <c r="K123" s="10">
        <f>IF(COUNT('Per-Trial Conf'!$F72:$H72)&gt;1,STDEV('Per-Trial Conf'!$F72:$H72)/SQRT(COUNT('Per-Trial Conf'!$F72:$H72)),0)</f>
        <v/>
      </c>
      <c r="L123" s="10">
        <f>AVERAGE('Per-Trial Conf'!$I72:$K72)</f>
        <v/>
      </c>
      <c r="M123" s="10">
        <f>IF(COUNT('Per-Trial Conf'!$I72:$K72)&gt;1,STDEV('Per-Trial Conf'!$I72:$K72)/SQRT(COUNT('Per-Trial Conf'!$I72:$K72)),0)</f>
        <v/>
      </c>
    </row>
    <row r="124">
      <c r="A124" s="3" t="inlineStr">
        <is>
          <t>3ZOS (surface)</t>
        </is>
      </c>
      <c r="B124" s="3" t="inlineStr">
        <is>
          <t>Ponatinib</t>
        </is>
      </c>
      <c r="C124" s="3" t="inlineStr">
        <is>
          <t>0LI 0</t>
        </is>
      </c>
      <c r="D124" s="3" t="inlineStr">
        <is>
          <t>N2</t>
        </is>
      </c>
      <c r="E124" s="3" t="inlineStr">
        <is>
          <t>0LI01</t>
        </is>
      </c>
      <c r="F124" s="10">
        <f>'Per-Trial Conf'!$E73</f>
        <v/>
      </c>
      <c r="G124" s="10" t="n">
        <v>2.03</v>
      </c>
      <c r="H124" s="10">
        <f>IF(G124="","",EXP(-G124/$B$3))</f>
        <v/>
      </c>
      <c r="I124" s="10">
        <f>IF(H124="","",H124/SUM(H$122:H$124))</f>
        <v/>
      </c>
      <c r="J124" s="10">
        <f>AVERAGE('Per-Trial Conf'!$F73:$H73)</f>
        <v/>
      </c>
      <c r="K124" s="10">
        <f>IF(COUNT('Per-Trial Conf'!$F73:$H73)&gt;1,STDEV('Per-Trial Conf'!$F73:$H73)/SQRT(COUNT('Per-Trial Conf'!$F73:$H73)),0)</f>
        <v/>
      </c>
      <c r="L124" s="10">
        <f>AVERAGE('Per-Trial Conf'!$I73:$K73)</f>
        <v/>
      </c>
      <c r="M124" s="10">
        <f>IF(COUNT('Per-Trial Conf'!$I73:$K73)&gt;1,STDEV('Per-Trial Conf'!$I73:$K73)/SQRT(COUNT('Per-Trial Conf'!$I73:$K73)),0)</f>
        <v/>
      </c>
    </row>
    <row r="125">
      <c r="A125" s="6" t="n"/>
      <c r="B125" s="6" t="n"/>
      <c r="C125" s="6" t="n"/>
      <c r="D125" s="6" t="n"/>
      <c r="E125" s="6" t="inlineStr">
        <is>
          <t>SUM</t>
        </is>
      </c>
      <c r="F125" s="12" t="n"/>
      <c r="G125" s="12" t="n"/>
      <c r="H125" s="12">
        <f>SUM(H122:H124)</f>
        <v/>
      </c>
      <c r="I125" s="12">
        <f>SUM(I122:I124)</f>
        <v/>
      </c>
      <c r="J125" s="12">
        <f>SUM(J122:J124)</f>
        <v/>
      </c>
      <c r="K125" s="12" t="n"/>
      <c r="L125" s="12">
        <f>SUM(L122:L124)</f>
        <v/>
      </c>
      <c r="M125" s="12" t="n"/>
    </row>
    <row r="126">
      <c r="A126" s="6" t="n"/>
      <c r="B126" s="6" t="n"/>
      <c r="C126" s="6" t="n"/>
      <c r="D126" s="6" t="n"/>
      <c r="E126" s="6" t="inlineStr">
        <is>
          <t>ensemble charge</t>
        </is>
      </c>
      <c r="F126" s="12" t="n"/>
      <c r="G126" s="12" t="n"/>
      <c r="H126" s="12" t="n"/>
      <c r="I126" s="12">
        <f>SUMPRODUCT($F122:$F124,I122:I124)</f>
        <v/>
      </c>
      <c r="J126" s="12">
        <f>SUMPRODUCT($F122:$F124,J122:J124)</f>
        <v/>
      </c>
      <c r="K126" s="12" t="n"/>
      <c r="L126" s="12">
        <f>SUMPRODUCT($F122:$F124,L122:L124)</f>
        <v/>
      </c>
      <c r="M126" s="12" t="n"/>
    </row>
    <row r="128">
      <c r="A128" s="7" t="n"/>
      <c r="B128" s="8" t="inlineStr">
        <is>
          <t>EGFR: Epidermal Growth Factor Receptor Kinase</t>
        </is>
      </c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</row>
    <row r="129">
      <c r="A129" s="3" t="inlineStr">
        <is>
          <t>4G5J</t>
        </is>
      </c>
      <c r="B129" s="3" t="inlineStr">
        <is>
          <t>Afatinib</t>
        </is>
      </c>
      <c r="C129" s="3" t="inlineStr">
        <is>
          <t>0WN+1</t>
        </is>
      </c>
      <c r="D129" s="3" t="inlineStr">
        <is>
          <t>N11, N26, N32</t>
        </is>
      </c>
      <c r="E129" s="3" t="inlineStr">
        <is>
          <t>0WN+1</t>
        </is>
      </c>
      <c r="F129" s="10">
        <f>'Per-Trial Conf'!$E99</f>
        <v/>
      </c>
      <c r="G129" s="10" t="n">
        <v>0.005</v>
      </c>
      <c r="H129" s="10">
        <f>IF(G129="","",EXP(-G129/$B$3))</f>
        <v/>
      </c>
      <c r="I129" s="10">
        <f>IF(H129="","",H129/SUM(H$129:H$131))</f>
        <v/>
      </c>
      <c r="J129" s="10">
        <f>AVERAGE('Per-Trial Conf'!$F99:$H99)</f>
        <v/>
      </c>
      <c r="K129" s="10">
        <f>IF(COUNT('Per-Trial Conf'!$F99:$H99)&gt;1,STDEV('Per-Trial Conf'!$F99:$H99)/SQRT(COUNT('Per-Trial Conf'!$F99:$H99)),0)</f>
        <v/>
      </c>
      <c r="L129" s="10">
        <f>AVERAGE('Per-Trial Conf'!$I99:$K99)</f>
        <v/>
      </c>
      <c r="M129" s="10">
        <f>IF(COUNT('Per-Trial Conf'!$I99:$K99)&gt;1,STDEV('Per-Trial Conf'!$I99:$K99)/SQRT(COUNT('Per-Trial Conf'!$I99:$K99)),0)</f>
        <v/>
      </c>
    </row>
    <row r="130">
      <c r="A130" s="3" t="inlineStr">
        <is>
          <t>4G5J</t>
        </is>
      </c>
      <c r="B130" s="3" t="inlineStr">
        <is>
          <t>Afatinib</t>
        </is>
      </c>
      <c r="C130" s="3" t="inlineStr">
        <is>
          <t>0WN+2</t>
        </is>
      </c>
      <c r="D130" s="3" t="inlineStr">
        <is>
          <t>N11, N26, N3, N32</t>
        </is>
      </c>
      <c r="E130" s="3" t="inlineStr">
        <is>
          <t>0WN+a</t>
        </is>
      </c>
      <c r="F130" s="10">
        <f>'Per-Trial Conf'!$E100</f>
        <v/>
      </c>
      <c r="G130" s="10" t="n">
        <v>4.147</v>
      </c>
      <c r="H130" s="10">
        <f>IF(G130="","",EXP(-G130/$B$3))</f>
        <v/>
      </c>
      <c r="I130" s="10">
        <f>IF(H130="","",H130/SUM(H$129:H$131))</f>
        <v/>
      </c>
      <c r="J130" s="10">
        <f>AVERAGE('Per-Trial Conf'!$F100:$H100)</f>
        <v/>
      </c>
      <c r="K130" s="10">
        <f>IF(COUNT('Per-Trial Conf'!$F100:$H100)&gt;1,STDEV('Per-Trial Conf'!$F100:$H100)/SQRT(COUNT('Per-Trial Conf'!$F100:$H100)),0)</f>
        <v/>
      </c>
      <c r="L130" s="10">
        <f>AVERAGE('Per-Trial Conf'!$I100:$K100)</f>
        <v/>
      </c>
      <c r="M130" s="10">
        <f>IF(COUNT('Per-Trial Conf'!$I100:$K100)&gt;1,STDEV('Per-Trial Conf'!$I100:$K100)/SQRT(COUNT('Per-Trial Conf'!$I100:$K100)),0)</f>
        <v/>
      </c>
    </row>
    <row r="131">
      <c r="A131" s="3" t="inlineStr">
        <is>
          <t>4G5J</t>
        </is>
      </c>
      <c r="B131" s="3" t="inlineStr">
        <is>
          <t>Afatinib</t>
        </is>
      </c>
      <c r="C131" s="3" t="inlineStr">
        <is>
          <t>0WN 0</t>
        </is>
      </c>
      <c r="D131" s="3" t="inlineStr">
        <is>
          <t>N11, N26</t>
        </is>
      </c>
      <c r="E131" s="3" t="inlineStr">
        <is>
          <t>0WN01</t>
        </is>
      </c>
      <c r="F131" s="10">
        <f>'Per-Trial Conf'!$E101</f>
        <v/>
      </c>
      <c r="G131" s="10" t="n">
        <v>2.861</v>
      </c>
      <c r="H131" s="10">
        <f>IF(G131="","",EXP(-G131/$B$3))</f>
        <v/>
      </c>
      <c r="I131" s="10">
        <f>IF(H131="","",H131/SUM(H$129:H$131))</f>
        <v/>
      </c>
      <c r="J131" s="10">
        <f>AVERAGE('Per-Trial Conf'!$F101:$H101)</f>
        <v/>
      </c>
      <c r="K131" s="10">
        <f>IF(COUNT('Per-Trial Conf'!$F101:$H101)&gt;1,STDEV('Per-Trial Conf'!$F101:$H101)/SQRT(COUNT('Per-Trial Conf'!$F101:$H101)),0)</f>
        <v/>
      </c>
      <c r="L131" s="10">
        <f>AVERAGE('Per-Trial Conf'!$I101:$K101)</f>
        <v/>
      </c>
      <c r="M131" s="10">
        <f>IF(COUNT('Per-Trial Conf'!$I101:$K101)&gt;1,STDEV('Per-Trial Conf'!$I101:$K101)/SQRT(COUNT('Per-Trial Conf'!$I101:$K101)),0)</f>
        <v/>
      </c>
    </row>
    <row r="132">
      <c r="A132" s="6" t="n"/>
      <c r="B132" s="6" t="n"/>
      <c r="C132" s="6" t="n"/>
      <c r="D132" s="6" t="n"/>
      <c r="E132" s="6" t="inlineStr">
        <is>
          <t>SUM</t>
        </is>
      </c>
      <c r="F132" s="12" t="n"/>
      <c r="G132" s="12" t="n"/>
      <c r="H132" s="12">
        <f>SUM(H129:H131)</f>
        <v/>
      </c>
      <c r="I132" s="12">
        <f>SUM(I129:I131)</f>
        <v/>
      </c>
      <c r="J132" s="12">
        <f>SUM(J129:J131)</f>
        <v/>
      </c>
      <c r="K132" s="12" t="n"/>
      <c r="L132" s="12">
        <f>SUM(L129:L131)</f>
        <v/>
      </c>
      <c r="M132" s="12" t="n"/>
    </row>
    <row r="133">
      <c r="A133" s="6" t="n"/>
      <c r="B133" s="6" t="n"/>
      <c r="C133" s="6" t="n"/>
      <c r="D133" s="6" t="n"/>
      <c r="E133" s="6" t="inlineStr">
        <is>
          <t>ensemble charge</t>
        </is>
      </c>
      <c r="F133" s="12" t="n"/>
      <c r="G133" s="12" t="n"/>
      <c r="H133" s="12" t="n"/>
      <c r="I133" s="12">
        <f>SUMPRODUCT($F129:$F131,I129:I131)</f>
        <v/>
      </c>
      <c r="J133" s="12">
        <f>SUMPRODUCT($F129:$F131,J129:J131)</f>
        <v/>
      </c>
      <c r="K133" s="12" t="n"/>
      <c r="L133" s="12">
        <f>SUMPRODUCT($F129:$F131,L129:L131)</f>
        <v/>
      </c>
      <c r="M133" s="12" t="n"/>
    </row>
    <row r="135">
      <c r="A135" s="3" t="inlineStr">
        <is>
          <t>4G5P</t>
        </is>
      </c>
      <c r="B135" s="3" t="inlineStr">
        <is>
          <t>Afatinib</t>
        </is>
      </c>
      <c r="C135" s="3" t="inlineStr">
        <is>
          <t>0WN+1</t>
        </is>
      </c>
      <c r="D135" s="3" t="inlineStr">
        <is>
          <t>N11, N26, N32</t>
        </is>
      </c>
      <c r="E135" s="3" t="inlineStr">
        <is>
          <t>0WN+1</t>
        </is>
      </c>
      <c r="F135" s="10">
        <f>'Per-Trial Conf'!$E102</f>
        <v/>
      </c>
      <c r="G135" s="10" t="n">
        <v>0.005</v>
      </c>
      <c r="H135" s="10">
        <f>IF(G135="","",EXP(-G135/$B$3))</f>
        <v/>
      </c>
      <c r="I135" s="10">
        <f>IF(H135="","",H135/SUM(H$135:H$137))</f>
        <v/>
      </c>
      <c r="J135" s="10">
        <f>AVERAGE('Per-Trial Conf'!$F102:$H102)</f>
        <v/>
      </c>
      <c r="K135" s="10">
        <f>IF(COUNT('Per-Trial Conf'!$F102:$H102)&gt;1,STDEV('Per-Trial Conf'!$F102:$H102)/SQRT(COUNT('Per-Trial Conf'!$F102:$H102)),0)</f>
        <v/>
      </c>
      <c r="L135" s="10">
        <f>AVERAGE('Per-Trial Conf'!$I102:$K102)</f>
        <v/>
      </c>
      <c r="M135" s="10">
        <f>IF(COUNT('Per-Trial Conf'!$I102:$K102)&gt;1,STDEV('Per-Trial Conf'!$I102:$K102)/SQRT(COUNT('Per-Trial Conf'!$I102:$K102)),0)</f>
        <v/>
      </c>
    </row>
    <row r="136">
      <c r="A136" s="3" t="inlineStr">
        <is>
          <t>4G5P</t>
        </is>
      </c>
      <c r="B136" s="3" t="inlineStr">
        <is>
          <t>Afatinib</t>
        </is>
      </c>
      <c r="C136" s="3" t="inlineStr">
        <is>
          <t>0WN+2</t>
        </is>
      </c>
      <c r="D136" s="3" t="inlineStr">
        <is>
          <t>N11, N26, N3, N32</t>
        </is>
      </c>
      <c r="E136" s="3" t="inlineStr">
        <is>
          <t>0WN+a</t>
        </is>
      </c>
      <c r="F136" s="10">
        <f>'Per-Trial Conf'!$E103</f>
        <v/>
      </c>
      <c r="G136" s="10" t="n">
        <v>4.147</v>
      </c>
      <c r="H136" s="10">
        <f>IF(G136="","",EXP(-G136/$B$3))</f>
        <v/>
      </c>
      <c r="I136" s="10">
        <f>IF(H136="","",H136/SUM(H$135:H$137))</f>
        <v/>
      </c>
      <c r="J136" s="10">
        <f>AVERAGE('Per-Trial Conf'!$F103:$H103)</f>
        <v/>
      </c>
      <c r="K136" s="10">
        <f>IF(COUNT('Per-Trial Conf'!$F103:$H103)&gt;1,STDEV('Per-Trial Conf'!$F103:$H103)/SQRT(COUNT('Per-Trial Conf'!$F103:$H103)),0)</f>
        <v/>
      </c>
      <c r="L136" s="10">
        <f>AVERAGE('Per-Trial Conf'!$I103:$K103)</f>
        <v/>
      </c>
      <c r="M136" s="10">
        <f>IF(COUNT('Per-Trial Conf'!$I103:$K103)&gt;1,STDEV('Per-Trial Conf'!$I103:$K103)/SQRT(COUNT('Per-Trial Conf'!$I103:$K103)),0)</f>
        <v/>
      </c>
    </row>
    <row r="137">
      <c r="A137" s="3" t="inlineStr">
        <is>
          <t>4G5P</t>
        </is>
      </c>
      <c r="B137" s="3" t="inlineStr">
        <is>
          <t>Afatinib</t>
        </is>
      </c>
      <c r="C137" s="3" t="inlineStr">
        <is>
          <t>0WN 0</t>
        </is>
      </c>
      <c r="D137" s="3" t="inlineStr">
        <is>
          <t>N11, N26</t>
        </is>
      </c>
      <c r="E137" s="3" t="inlineStr">
        <is>
          <t>0WN01</t>
        </is>
      </c>
      <c r="F137" s="10">
        <f>'Per-Trial Conf'!$E104</f>
        <v/>
      </c>
      <c r="G137" s="10" t="n">
        <v>2.861</v>
      </c>
      <c r="H137" s="10">
        <f>IF(G137="","",EXP(-G137/$B$3))</f>
        <v/>
      </c>
      <c r="I137" s="10">
        <f>IF(H137="","",H137/SUM(H$135:H$137))</f>
        <v/>
      </c>
      <c r="J137" s="10">
        <f>AVERAGE('Per-Trial Conf'!$F104:$H104)</f>
        <v/>
      </c>
      <c r="K137" s="10">
        <f>IF(COUNT('Per-Trial Conf'!$F104:$H104)&gt;1,STDEV('Per-Trial Conf'!$F104:$H104)/SQRT(COUNT('Per-Trial Conf'!$F104:$H104)),0)</f>
        <v/>
      </c>
      <c r="L137" s="10">
        <f>AVERAGE('Per-Trial Conf'!$I104:$K104)</f>
        <v/>
      </c>
      <c r="M137" s="10">
        <f>IF(COUNT('Per-Trial Conf'!$I104:$K104)&gt;1,STDEV('Per-Trial Conf'!$I104:$K104)/SQRT(COUNT('Per-Trial Conf'!$I104:$K104)),0)</f>
        <v/>
      </c>
    </row>
    <row r="138">
      <c r="A138" s="6" t="n"/>
      <c r="B138" s="6" t="n"/>
      <c r="C138" s="6" t="n"/>
      <c r="D138" s="6" t="n"/>
      <c r="E138" s="6" t="inlineStr">
        <is>
          <t>SUM</t>
        </is>
      </c>
      <c r="F138" s="12" t="n"/>
      <c r="G138" s="12" t="n"/>
      <c r="H138" s="12">
        <f>SUM(H135:H137)</f>
        <v/>
      </c>
      <c r="I138" s="12">
        <f>SUM(I135:I137)</f>
        <v/>
      </c>
      <c r="J138" s="12">
        <f>SUM(J135:J137)</f>
        <v/>
      </c>
      <c r="K138" s="12" t="n"/>
      <c r="L138" s="12">
        <f>SUM(L135:L137)</f>
        <v/>
      </c>
      <c r="M138" s="12" t="n"/>
    </row>
    <row r="139">
      <c r="A139" s="6" t="n"/>
      <c r="B139" s="6" t="n"/>
      <c r="C139" s="6" t="n"/>
      <c r="D139" s="6" t="n"/>
      <c r="E139" s="6" t="inlineStr">
        <is>
          <t>ensemble charge</t>
        </is>
      </c>
      <c r="F139" s="12" t="n"/>
      <c r="G139" s="12" t="n"/>
      <c r="H139" s="12" t="n"/>
      <c r="I139" s="12">
        <f>SUMPRODUCT($F135:$F137,I135:I137)</f>
        <v/>
      </c>
      <c r="J139" s="12">
        <f>SUMPRODUCT($F135:$F137,J135:J137)</f>
        <v/>
      </c>
      <c r="K139" s="12" t="n"/>
      <c r="L139" s="12">
        <f>SUMPRODUCT($F135:$F137,L135:L137)</f>
        <v/>
      </c>
      <c r="M139" s="12" t="n"/>
    </row>
    <row r="141">
      <c r="A141" s="3" t="inlineStr">
        <is>
          <t>2ITO</t>
        </is>
      </c>
      <c r="B141" s="3" t="inlineStr">
        <is>
          <t>Gefitinib</t>
        </is>
      </c>
      <c r="C141" s="3" t="inlineStr">
        <is>
          <t>IRE+1a</t>
        </is>
      </c>
      <c r="D141" s="3" t="inlineStr">
        <is>
          <t>NAS, NBE</t>
        </is>
      </c>
      <c r="E141" s="3" t="inlineStr">
        <is>
          <t>IRE+1</t>
        </is>
      </c>
      <c r="F141" s="10">
        <f>'Per-Trial Conf'!$E13</f>
        <v/>
      </c>
      <c r="G141" s="10" t="n">
        <v>0.717</v>
      </c>
      <c r="H141" s="10">
        <f>IF(G141="","",EXP(-G141/$B$3))</f>
        <v/>
      </c>
      <c r="I141" s="10">
        <f>IF(H141="","",H141/SUM(H$141:H$145))</f>
        <v/>
      </c>
      <c r="J141" s="10">
        <f>AVERAGE('Per-Trial Conf'!$F13:$H13)</f>
        <v/>
      </c>
      <c r="K141" s="10">
        <f>IF(COUNT('Per-Trial Conf'!$F13:$H13)&gt;1,STDEV('Per-Trial Conf'!$F13:$H13)/SQRT(COUNT('Per-Trial Conf'!$F13:$H13)),0)</f>
        <v/>
      </c>
      <c r="L141" s="10">
        <f>AVERAGE('Per-Trial Conf'!$I13:$K13)</f>
        <v/>
      </c>
      <c r="M141" s="10">
        <f>IF(COUNT('Per-Trial Conf'!$I13:$K13)&gt;1,STDEV('Per-Trial Conf'!$I13:$K13)/SQRT(COUNT('Per-Trial Conf'!$I13:$K13)),0)</f>
        <v/>
      </c>
    </row>
    <row r="142">
      <c r="A142" s="3" t="inlineStr">
        <is>
          <t>2ITO</t>
        </is>
      </c>
      <c r="B142" s="3" t="inlineStr">
        <is>
          <t>Gefitinib</t>
        </is>
      </c>
      <c r="C142" s="3" t="inlineStr">
        <is>
          <t>IRE+1b</t>
        </is>
      </c>
      <c r="D142" s="3" t="inlineStr">
        <is>
          <t>N3, NAS</t>
        </is>
      </c>
      <c r="E142" s="3" t="inlineStr">
        <is>
          <t>IRE+2</t>
        </is>
      </c>
      <c r="F142" s="10">
        <f>'Per-Trial Conf'!$E14</f>
        <v/>
      </c>
      <c r="G142" s="10" t="n">
        <v>3.728</v>
      </c>
      <c r="H142" s="10">
        <f>IF(G142="","",EXP(-G142/$B$3))</f>
        <v/>
      </c>
      <c r="I142" s="10">
        <f>IF(H142="","",H142/SUM(H$141:H$145))</f>
        <v/>
      </c>
      <c r="J142" s="10">
        <f>AVERAGE('Per-Trial Conf'!$F14:$H14)</f>
        <v/>
      </c>
      <c r="K142" s="10">
        <f>IF(COUNT('Per-Trial Conf'!$F14:$H14)&gt;1,STDEV('Per-Trial Conf'!$F14:$H14)/SQRT(COUNT('Per-Trial Conf'!$F14:$H14)),0)</f>
        <v/>
      </c>
      <c r="L142" s="10">
        <f>AVERAGE('Per-Trial Conf'!$I14:$K14)</f>
        <v/>
      </c>
      <c r="M142" s="10">
        <f>IF(COUNT('Per-Trial Conf'!$I14:$K14)&gt;1,STDEV('Per-Trial Conf'!$I14:$K14)/SQRT(COUNT('Per-Trial Conf'!$I14:$K14)),0)</f>
        <v/>
      </c>
    </row>
    <row r="143">
      <c r="A143" s="3" t="inlineStr">
        <is>
          <t>2ITO</t>
        </is>
      </c>
      <c r="B143" s="3" t="inlineStr">
        <is>
          <t>Gefitinib</t>
        </is>
      </c>
      <c r="C143" s="3" t="inlineStr">
        <is>
          <t>IRE+1c</t>
        </is>
      </c>
      <c r="D143" s="3" t="inlineStr">
        <is>
          <t>N3, NAS</t>
        </is>
      </c>
      <c r="E143" s="3" t="inlineStr">
        <is>
          <t>IRE+3</t>
        </is>
      </c>
      <c r="F143" s="10">
        <f>'Per-Trial Conf'!$E15</f>
        <v/>
      </c>
      <c r="G143" s="10" t="n">
        <v>4.395</v>
      </c>
      <c r="H143" s="10">
        <f>IF(G143="","",EXP(-G143/$B$3))</f>
        <v/>
      </c>
      <c r="I143" s="10">
        <f>IF(H143="","",H143/SUM(H$141:H$145))</f>
        <v/>
      </c>
      <c r="J143" s="10">
        <f>AVERAGE('Per-Trial Conf'!$F15:$H15)</f>
        <v/>
      </c>
      <c r="K143" s="10">
        <f>IF(COUNT('Per-Trial Conf'!$F15:$H15)&gt;1,STDEV('Per-Trial Conf'!$F15:$H15)/SQRT(COUNT('Per-Trial Conf'!$F15:$H15)),0)</f>
        <v/>
      </c>
      <c r="L143" s="10">
        <f>AVERAGE('Per-Trial Conf'!$I15:$K15)</f>
        <v/>
      </c>
      <c r="M143" s="10">
        <f>IF(COUNT('Per-Trial Conf'!$I15:$K15)&gt;1,STDEV('Per-Trial Conf'!$I15:$K15)/SQRT(COUNT('Per-Trial Conf'!$I15:$K15)),0)</f>
        <v/>
      </c>
    </row>
    <row r="144">
      <c r="A144" s="3" t="inlineStr">
        <is>
          <t>2ITO</t>
        </is>
      </c>
      <c r="B144" s="3" t="inlineStr">
        <is>
          <t>Gefitinib</t>
        </is>
      </c>
      <c r="C144" s="3" t="inlineStr">
        <is>
          <t>IRE+2</t>
        </is>
      </c>
      <c r="D144" s="3" t="inlineStr">
        <is>
          <t>N3, NAS, NBE</t>
        </is>
      </c>
      <c r="E144" s="3" t="inlineStr">
        <is>
          <t>IRE+a</t>
        </is>
      </c>
      <c r="F144" s="10">
        <f>'Per-Trial Conf'!$E16</f>
        <v/>
      </c>
      <c r="G144" s="10" t="n">
        <v>4.412</v>
      </c>
      <c r="H144" s="10">
        <f>IF(G144="","",EXP(-G144/$B$3))</f>
        <v/>
      </c>
      <c r="I144" s="10">
        <f>IF(H144="","",H144/SUM(H$141:H$145))</f>
        <v/>
      </c>
      <c r="J144" s="10">
        <f>AVERAGE('Per-Trial Conf'!$F16:$H16)</f>
        <v/>
      </c>
      <c r="K144" s="10">
        <f>IF(COUNT('Per-Trial Conf'!$F16:$H16)&gt;1,STDEV('Per-Trial Conf'!$F16:$H16)/SQRT(COUNT('Per-Trial Conf'!$F16:$H16)),0)</f>
        <v/>
      </c>
      <c r="L144" s="10">
        <f>AVERAGE('Per-Trial Conf'!$I16:$K16)</f>
        <v/>
      </c>
      <c r="M144" s="10">
        <f>IF(COUNT('Per-Trial Conf'!$I16:$K16)&gt;1,STDEV('Per-Trial Conf'!$I16:$K16)/SQRT(COUNT('Per-Trial Conf'!$I16:$K16)),0)</f>
        <v/>
      </c>
    </row>
    <row r="145">
      <c r="A145" s="3" t="inlineStr">
        <is>
          <t>2ITO</t>
        </is>
      </c>
      <c r="B145" s="3" t="inlineStr">
        <is>
          <t>Gefitinib</t>
        </is>
      </c>
      <c r="C145" s="3" t="inlineStr">
        <is>
          <t>IRE 0</t>
        </is>
      </c>
      <c r="D145" s="3" t="inlineStr">
        <is>
          <t>NAS</t>
        </is>
      </c>
      <c r="E145" s="3" t="inlineStr">
        <is>
          <t>IRE01</t>
        </is>
      </c>
      <c r="F145" s="10">
        <f>'Per-Trial Conf'!$E17</f>
        <v/>
      </c>
      <c r="G145" s="10" t="n">
        <v>0.212</v>
      </c>
      <c r="H145" s="10">
        <f>IF(G145="","",EXP(-G145/$B$3))</f>
        <v/>
      </c>
      <c r="I145" s="10">
        <f>IF(H145="","",H145/SUM(H$141:H$145))</f>
        <v/>
      </c>
      <c r="J145" s="10">
        <f>AVERAGE('Per-Trial Conf'!$F17:$H17)</f>
        <v/>
      </c>
      <c r="K145" s="10">
        <f>IF(COUNT('Per-Trial Conf'!$F17:$H17)&gt;1,STDEV('Per-Trial Conf'!$F17:$H17)/SQRT(COUNT('Per-Trial Conf'!$F17:$H17)),0)</f>
        <v/>
      </c>
      <c r="L145" s="10">
        <f>AVERAGE('Per-Trial Conf'!$I17:$K17)</f>
        <v/>
      </c>
      <c r="M145" s="10">
        <f>IF(COUNT('Per-Trial Conf'!$I17:$K17)&gt;1,STDEV('Per-Trial Conf'!$I17:$K17)/SQRT(COUNT('Per-Trial Conf'!$I17:$K17)),0)</f>
        <v/>
      </c>
    </row>
    <row r="146">
      <c r="A146" s="6" t="n"/>
      <c r="B146" s="6" t="n"/>
      <c r="C146" s="6" t="n"/>
      <c r="D146" s="6" t="n"/>
      <c r="E146" s="6" t="inlineStr">
        <is>
          <t>SUM</t>
        </is>
      </c>
      <c r="F146" s="12" t="n"/>
      <c r="G146" s="12" t="n"/>
      <c r="H146" s="12">
        <f>SUM(H141:H145)</f>
        <v/>
      </c>
      <c r="I146" s="12">
        <f>SUM(I141:I145)</f>
        <v/>
      </c>
      <c r="J146" s="12">
        <f>SUM(J141:J145)</f>
        <v/>
      </c>
      <c r="K146" s="12" t="n"/>
      <c r="L146" s="12">
        <f>SUM(L141:L145)</f>
        <v/>
      </c>
      <c r="M146" s="12" t="n"/>
    </row>
    <row r="147">
      <c r="A147" s="6" t="n"/>
      <c r="B147" s="6" t="n"/>
      <c r="C147" s="6" t="n"/>
      <c r="D147" s="6" t="n"/>
      <c r="E147" s="6" t="inlineStr">
        <is>
          <t>ensemble charge</t>
        </is>
      </c>
      <c r="F147" s="12" t="n"/>
      <c r="G147" s="12" t="n"/>
      <c r="H147" s="12" t="n"/>
      <c r="I147" s="12">
        <f>SUMPRODUCT($F141:$F145,I141:I145)</f>
        <v/>
      </c>
      <c r="J147" s="12">
        <f>SUMPRODUCT($F141:$F145,J141:J145)</f>
        <v/>
      </c>
      <c r="K147" s="12" t="n"/>
      <c r="L147" s="12">
        <f>SUMPRODUCT($F141:$F145,L141:L145)</f>
        <v/>
      </c>
      <c r="M147" s="12" t="n"/>
    </row>
    <row r="149">
      <c r="A149" s="3" t="inlineStr">
        <is>
          <t>2ITY</t>
        </is>
      </c>
      <c r="B149" s="3" t="inlineStr">
        <is>
          <t>Gefitinib</t>
        </is>
      </c>
      <c r="C149" s="3" t="inlineStr">
        <is>
          <t>IRE+1a</t>
        </is>
      </c>
      <c r="D149" s="3" t="inlineStr">
        <is>
          <t>NAS, NBE</t>
        </is>
      </c>
      <c r="E149" s="3" t="inlineStr">
        <is>
          <t>IRE+1</t>
        </is>
      </c>
      <c r="F149" s="10">
        <f>'Per-Trial Conf'!$E18</f>
        <v/>
      </c>
      <c r="G149" s="10" t="n">
        <v>0.717</v>
      </c>
      <c r="H149" s="10">
        <f>IF(G149="","",EXP(-G149/$B$3))</f>
        <v/>
      </c>
      <c r="I149" s="10">
        <f>IF(H149="","",H149/SUM(H$149:H$153))</f>
        <v/>
      </c>
      <c r="J149" s="10">
        <f>AVERAGE('Per-Trial Conf'!$F18:$H18)</f>
        <v/>
      </c>
      <c r="K149" s="10">
        <f>IF(COUNT('Per-Trial Conf'!$F18:$H18)&gt;1,STDEV('Per-Trial Conf'!$F18:$H18)/SQRT(COUNT('Per-Trial Conf'!$F18:$H18)),0)</f>
        <v/>
      </c>
      <c r="L149" s="10">
        <f>AVERAGE('Per-Trial Conf'!$I18:$K18)</f>
        <v/>
      </c>
      <c r="M149" s="10">
        <f>IF(COUNT('Per-Trial Conf'!$I18:$K18)&gt;1,STDEV('Per-Trial Conf'!$I18:$K18)/SQRT(COUNT('Per-Trial Conf'!$I18:$K18)),0)</f>
        <v/>
      </c>
    </row>
    <row r="150">
      <c r="A150" s="3" t="inlineStr">
        <is>
          <t>2ITY</t>
        </is>
      </c>
      <c r="B150" s="3" t="inlineStr">
        <is>
          <t>Gefitinib</t>
        </is>
      </c>
      <c r="C150" s="3" t="inlineStr">
        <is>
          <t>IRE+1b</t>
        </is>
      </c>
      <c r="D150" s="3" t="inlineStr">
        <is>
          <t>N3, NAS</t>
        </is>
      </c>
      <c r="E150" s="3" t="inlineStr">
        <is>
          <t>IRE+2</t>
        </is>
      </c>
      <c r="F150" s="10">
        <f>'Per-Trial Conf'!$E19</f>
        <v/>
      </c>
      <c r="G150" s="10" t="n">
        <v>3.728</v>
      </c>
      <c r="H150" s="10">
        <f>IF(G150="","",EXP(-G150/$B$3))</f>
        <v/>
      </c>
      <c r="I150" s="10">
        <f>IF(H150="","",H150/SUM(H$149:H$153))</f>
        <v/>
      </c>
      <c r="J150" s="10">
        <f>AVERAGE('Per-Trial Conf'!$F19:$H19)</f>
        <v/>
      </c>
      <c r="K150" s="10">
        <f>IF(COUNT('Per-Trial Conf'!$F19:$H19)&gt;1,STDEV('Per-Trial Conf'!$F19:$H19)/SQRT(COUNT('Per-Trial Conf'!$F19:$H19)),0)</f>
        <v/>
      </c>
      <c r="L150" s="10">
        <f>AVERAGE('Per-Trial Conf'!$I19:$K19)</f>
        <v/>
      </c>
      <c r="M150" s="10">
        <f>IF(COUNT('Per-Trial Conf'!$I19:$K19)&gt;1,STDEV('Per-Trial Conf'!$I19:$K19)/SQRT(COUNT('Per-Trial Conf'!$I19:$K19)),0)</f>
        <v/>
      </c>
    </row>
    <row r="151">
      <c r="A151" s="3" t="inlineStr">
        <is>
          <t>2ITY</t>
        </is>
      </c>
      <c r="B151" s="3" t="inlineStr">
        <is>
          <t>Gefitinib</t>
        </is>
      </c>
      <c r="C151" s="3" t="inlineStr">
        <is>
          <t>IRE+1c</t>
        </is>
      </c>
      <c r="D151" s="3" t="inlineStr">
        <is>
          <t>N3, NAS</t>
        </is>
      </c>
      <c r="E151" s="3" t="inlineStr">
        <is>
          <t>IRE+3</t>
        </is>
      </c>
      <c r="F151" s="10">
        <f>'Per-Trial Conf'!$E20</f>
        <v/>
      </c>
      <c r="G151" s="10" t="n">
        <v>4.395</v>
      </c>
      <c r="H151" s="10">
        <f>IF(G151="","",EXP(-G151/$B$3))</f>
        <v/>
      </c>
      <c r="I151" s="10">
        <f>IF(H151="","",H151/SUM(H$149:H$153))</f>
        <v/>
      </c>
      <c r="J151" s="10">
        <f>AVERAGE('Per-Trial Conf'!$F20:$H20)</f>
        <v/>
      </c>
      <c r="K151" s="10">
        <f>IF(COUNT('Per-Trial Conf'!$F20:$H20)&gt;1,STDEV('Per-Trial Conf'!$F20:$H20)/SQRT(COUNT('Per-Trial Conf'!$F20:$H20)),0)</f>
        <v/>
      </c>
      <c r="L151" s="10">
        <f>AVERAGE('Per-Trial Conf'!$I20:$K20)</f>
        <v/>
      </c>
      <c r="M151" s="10">
        <f>IF(COUNT('Per-Trial Conf'!$I20:$K20)&gt;1,STDEV('Per-Trial Conf'!$I20:$K20)/SQRT(COUNT('Per-Trial Conf'!$I20:$K20)),0)</f>
        <v/>
      </c>
    </row>
    <row r="152">
      <c r="A152" s="3" t="inlineStr">
        <is>
          <t>2ITY</t>
        </is>
      </c>
      <c r="B152" s="3" t="inlineStr">
        <is>
          <t>Gefitinib</t>
        </is>
      </c>
      <c r="C152" s="3" t="inlineStr">
        <is>
          <t>IRE+2</t>
        </is>
      </c>
      <c r="D152" s="3" t="inlineStr">
        <is>
          <t>N3, NAS, NBE</t>
        </is>
      </c>
      <c r="E152" s="3" t="inlineStr">
        <is>
          <t>IRE+a</t>
        </is>
      </c>
      <c r="F152" s="10">
        <f>'Per-Trial Conf'!$E21</f>
        <v/>
      </c>
      <c r="G152" s="10" t="n">
        <v>4.412</v>
      </c>
      <c r="H152" s="10">
        <f>IF(G152="","",EXP(-G152/$B$3))</f>
        <v/>
      </c>
      <c r="I152" s="10">
        <f>IF(H152="","",H152/SUM(H$149:H$153))</f>
        <v/>
      </c>
      <c r="J152" s="10">
        <f>AVERAGE('Per-Trial Conf'!$F21:$H21)</f>
        <v/>
      </c>
      <c r="K152" s="10">
        <f>IF(COUNT('Per-Trial Conf'!$F21:$H21)&gt;1,STDEV('Per-Trial Conf'!$F21:$H21)/SQRT(COUNT('Per-Trial Conf'!$F21:$H21)),0)</f>
        <v/>
      </c>
      <c r="L152" s="10">
        <f>AVERAGE('Per-Trial Conf'!$I21:$K21)</f>
        <v/>
      </c>
      <c r="M152" s="10">
        <f>IF(COUNT('Per-Trial Conf'!$I21:$K21)&gt;1,STDEV('Per-Trial Conf'!$I21:$K21)/SQRT(COUNT('Per-Trial Conf'!$I21:$K21)),0)</f>
        <v/>
      </c>
    </row>
    <row r="153">
      <c r="A153" s="3" t="inlineStr">
        <is>
          <t>2ITY</t>
        </is>
      </c>
      <c r="B153" s="3" t="inlineStr">
        <is>
          <t>Gefitinib</t>
        </is>
      </c>
      <c r="C153" s="3" t="inlineStr">
        <is>
          <t>IRE 0</t>
        </is>
      </c>
      <c r="D153" s="3" t="inlineStr">
        <is>
          <t>NAS</t>
        </is>
      </c>
      <c r="E153" s="3" t="inlineStr">
        <is>
          <t>IRE01</t>
        </is>
      </c>
      <c r="F153" s="10">
        <f>'Per-Trial Conf'!$E22</f>
        <v/>
      </c>
      <c r="G153" s="10" t="n">
        <v>0.212</v>
      </c>
      <c r="H153" s="10">
        <f>IF(G153="","",EXP(-G153/$B$3))</f>
        <v/>
      </c>
      <c r="I153" s="10">
        <f>IF(H153="","",H153/SUM(H$149:H$153))</f>
        <v/>
      </c>
      <c r="J153" s="10">
        <f>AVERAGE('Per-Trial Conf'!$F22:$H22)</f>
        <v/>
      </c>
      <c r="K153" s="10">
        <f>IF(COUNT('Per-Trial Conf'!$F22:$H22)&gt;1,STDEV('Per-Trial Conf'!$F22:$H22)/SQRT(COUNT('Per-Trial Conf'!$F22:$H22)),0)</f>
        <v/>
      </c>
      <c r="L153" s="10">
        <f>AVERAGE('Per-Trial Conf'!$I22:$K22)</f>
        <v/>
      </c>
      <c r="M153" s="10">
        <f>IF(COUNT('Per-Trial Conf'!$I22:$K22)&gt;1,STDEV('Per-Trial Conf'!$I22:$K22)/SQRT(COUNT('Per-Trial Conf'!$I22:$K22)),0)</f>
        <v/>
      </c>
    </row>
    <row r="154">
      <c r="A154" s="6" t="n"/>
      <c r="B154" s="6" t="n"/>
      <c r="C154" s="6" t="n"/>
      <c r="D154" s="6" t="n"/>
      <c r="E154" s="6" t="inlineStr">
        <is>
          <t>SUM</t>
        </is>
      </c>
      <c r="F154" s="12" t="n"/>
      <c r="G154" s="12" t="n"/>
      <c r="H154" s="12">
        <f>SUM(H149:H153)</f>
        <v/>
      </c>
      <c r="I154" s="12">
        <f>SUM(I149:I153)</f>
        <v/>
      </c>
      <c r="J154" s="12">
        <f>SUM(J149:J153)</f>
        <v/>
      </c>
      <c r="K154" s="12" t="n"/>
      <c r="L154" s="12">
        <f>SUM(L149:L153)</f>
        <v/>
      </c>
      <c r="M154" s="12" t="n"/>
    </row>
    <row r="155">
      <c r="A155" s="6" t="n"/>
      <c r="B155" s="6" t="n"/>
      <c r="C155" s="6" t="n"/>
      <c r="D155" s="6" t="n"/>
      <c r="E155" s="6" t="inlineStr">
        <is>
          <t>ensemble charge</t>
        </is>
      </c>
      <c r="F155" s="12" t="n"/>
      <c r="G155" s="12" t="n"/>
      <c r="H155" s="12" t="n"/>
      <c r="I155" s="12">
        <f>SUMPRODUCT($F149:$F153,I149:I153)</f>
        <v/>
      </c>
      <c r="J155" s="12">
        <f>SUMPRODUCT($F149:$F153,J149:J153)</f>
        <v/>
      </c>
      <c r="K155" s="12" t="n"/>
      <c r="L155" s="12">
        <f>SUMPRODUCT($F149:$F153,L149:L153)</f>
        <v/>
      </c>
      <c r="M155" s="12" t="n"/>
    </row>
    <row r="157">
      <c r="A157" s="3" t="inlineStr">
        <is>
          <t>2ITZ</t>
        </is>
      </c>
      <c r="B157" s="3" t="inlineStr">
        <is>
          <t>Gefitinib</t>
        </is>
      </c>
      <c r="C157" s="3" t="inlineStr">
        <is>
          <t>IRE+1a</t>
        </is>
      </c>
      <c r="D157" s="3" t="inlineStr">
        <is>
          <t>NAS, NBE</t>
        </is>
      </c>
      <c r="E157" s="3" t="inlineStr">
        <is>
          <t>IRE+1</t>
        </is>
      </c>
      <c r="F157" s="10">
        <f>'Per-Trial Conf'!$E23</f>
        <v/>
      </c>
      <c r="G157" s="10" t="n">
        <v>0.717</v>
      </c>
      <c r="H157" s="10">
        <f>IF(G157="","",EXP(-G157/$B$3))</f>
        <v/>
      </c>
      <c r="I157" s="10">
        <f>IF(H157="","",H157/SUM(H$157:H$161))</f>
        <v/>
      </c>
      <c r="J157" s="10">
        <f>AVERAGE('Per-Trial Conf'!$F23:$H23)</f>
        <v/>
      </c>
      <c r="K157" s="10">
        <f>IF(COUNT('Per-Trial Conf'!$F23:$H23)&gt;1,STDEV('Per-Trial Conf'!$F23:$H23)/SQRT(COUNT('Per-Trial Conf'!$F23:$H23)),0)</f>
        <v/>
      </c>
      <c r="L157" s="10">
        <f>AVERAGE('Per-Trial Conf'!$I23:$K23)</f>
        <v/>
      </c>
      <c r="M157" s="10">
        <f>IF(COUNT('Per-Trial Conf'!$I23:$K23)&gt;1,STDEV('Per-Trial Conf'!$I23:$K23)/SQRT(COUNT('Per-Trial Conf'!$I23:$K23)),0)</f>
        <v/>
      </c>
    </row>
    <row r="158">
      <c r="A158" s="3" t="inlineStr">
        <is>
          <t>2ITZ</t>
        </is>
      </c>
      <c r="B158" s="3" t="inlineStr">
        <is>
          <t>Gefitinib</t>
        </is>
      </c>
      <c r="C158" s="3" t="inlineStr">
        <is>
          <t>IRE+1b</t>
        </is>
      </c>
      <c r="D158" s="3" t="inlineStr">
        <is>
          <t>N3, NAS</t>
        </is>
      </c>
      <c r="E158" s="3" t="inlineStr">
        <is>
          <t>IRE+2</t>
        </is>
      </c>
      <c r="F158" s="10">
        <f>'Per-Trial Conf'!$E24</f>
        <v/>
      </c>
      <c r="G158" s="10" t="n">
        <v>3.728</v>
      </c>
      <c r="H158" s="10">
        <f>IF(G158="","",EXP(-G158/$B$3))</f>
        <v/>
      </c>
      <c r="I158" s="10">
        <f>IF(H158="","",H158/SUM(H$157:H$161))</f>
        <v/>
      </c>
      <c r="J158" s="10">
        <f>AVERAGE('Per-Trial Conf'!$F24:$H24)</f>
        <v/>
      </c>
      <c r="K158" s="10">
        <f>IF(COUNT('Per-Trial Conf'!$F24:$H24)&gt;1,STDEV('Per-Trial Conf'!$F24:$H24)/SQRT(COUNT('Per-Trial Conf'!$F24:$H24)),0)</f>
        <v/>
      </c>
      <c r="L158" s="10">
        <f>AVERAGE('Per-Trial Conf'!$I24:$K24)</f>
        <v/>
      </c>
      <c r="M158" s="10">
        <f>IF(COUNT('Per-Trial Conf'!$I24:$K24)&gt;1,STDEV('Per-Trial Conf'!$I24:$K24)/SQRT(COUNT('Per-Trial Conf'!$I24:$K24)),0)</f>
        <v/>
      </c>
    </row>
    <row r="159">
      <c r="A159" s="3" t="inlineStr">
        <is>
          <t>2ITZ</t>
        </is>
      </c>
      <c r="B159" s="3" t="inlineStr">
        <is>
          <t>Gefitinib</t>
        </is>
      </c>
      <c r="C159" s="3" t="inlineStr">
        <is>
          <t>IRE+1c</t>
        </is>
      </c>
      <c r="D159" s="3" t="inlineStr">
        <is>
          <t>N3, NAS</t>
        </is>
      </c>
      <c r="E159" s="3" t="inlineStr">
        <is>
          <t>IRE+3</t>
        </is>
      </c>
      <c r="F159" s="10">
        <f>'Per-Trial Conf'!$E25</f>
        <v/>
      </c>
      <c r="G159" s="10" t="n">
        <v>4.395</v>
      </c>
      <c r="H159" s="10">
        <f>IF(G159="","",EXP(-G159/$B$3))</f>
        <v/>
      </c>
      <c r="I159" s="10">
        <f>IF(H159="","",H159/SUM(H$157:H$161))</f>
        <v/>
      </c>
      <c r="J159" s="10">
        <f>AVERAGE('Per-Trial Conf'!$F25:$H25)</f>
        <v/>
      </c>
      <c r="K159" s="10">
        <f>IF(COUNT('Per-Trial Conf'!$F25:$H25)&gt;1,STDEV('Per-Trial Conf'!$F25:$H25)/SQRT(COUNT('Per-Trial Conf'!$F25:$H25)),0)</f>
        <v/>
      </c>
      <c r="L159" s="10">
        <f>AVERAGE('Per-Trial Conf'!$I25:$K25)</f>
        <v/>
      </c>
      <c r="M159" s="10">
        <f>IF(COUNT('Per-Trial Conf'!$I25:$K25)&gt;1,STDEV('Per-Trial Conf'!$I25:$K25)/SQRT(COUNT('Per-Trial Conf'!$I25:$K25)),0)</f>
        <v/>
      </c>
    </row>
    <row r="160">
      <c r="A160" s="3" t="inlineStr">
        <is>
          <t>2ITZ</t>
        </is>
      </c>
      <c r="B160" s="3" t="inlineStr">
        <is>
          <t>Gefitinib</t>
        </is>
      </c>
      <c r="C160" s="3" t="inlineStr">
        <is>
          <t>IRE+2</t>
        </is>
      </c>
      <c r="D160" s="3" t="inlineStr">
        <is>
          <t>N3, NAS, NBE</t>
        </is>
      </c>
      <c r="E160" s="3" t="inlineStr">
        <is>
          <t>IRE+a</t>
        </is>
      </c>
      <c r="F160" s="10">
        <f>'Per-Trial Conf'!$E26</f>
        <v/>
      </c>
      <c r="G160" s="10" t="n">
        <v>4.412</v>
      </c>
      <c r="H160" s="10">
        <f>IF(G160="","",EXP(-G160/$B$3))</f>
        <v/>
      </c>
      <c r="I160" s="10">
        <f>IF(H160="","",H160/SUM(H$157:H$161))</f>
        <v/>
      </c>
      <c r="J160" s="10">
        <f>AVERAGE('Per-Trial Conf'!$F26:$H26)</f>
        <v/>
      </c>
      <c r="K160" s="10">
        <f>IF(COUNT('Per-Trial Conf'!$F26:$H26)&gt;1,STDEV('Per-Trial Conf'!$F26:$H26)/SQRT(COUNT('Per-Trial Conf'!$F26:$H26)),0)</f>
        <v/>
      </c>
      <c r="L160" s="10">
        <f>AVERAGE('Per-Trial Conf'!$I26:$K26)</f>
        <v/>
      </c>
      <c r="M160" s="10">
        <f>IF(COUNT('Per-Trial Conf'!$I26:$K26)&gt;1,STDEV('Per-Trial Conf'!$I26:$K26)/SQRT(COUNT('Per-Trial Conf'!$I26:$K26)),0)</f>
        <v/>
      </c>
    </row>
    <row r="161">
      <c r="A161" s="3" t="inlineStr">
        <is>
          <t>2ITZ</t>
        </is>
      </c>
      <c r="B161" s="3" t="inlineStr">
        <is>
          <t>Gefitinib</t>
        </is>
      </c>
      <c r="C161" s="3" t="inlineStr">
        <is>
          <t>IRE 0</t>
        </is>
      </c>
      <c r="D161" s="3" t="inlineStr">
        <is>
          <t>NAS</t>
        </is>
      </c>
      <c r="E161" s="3" t="inlineStr">
        <is>
          <t>IRE01</t>
        </is>
      </c>
      <c r="F161" s="10">
        <f>'Per-Trial Conf'!$E27</f>
        <v/>
      </c>
      <c r="G161" s="10" t="n">
        <v>0.212</v>
      </c>
      <c r="H161" s="10">
        <f>IF(G161="","",EXP(-G161/$B$3))</f>
        <v/>
      </c>
      <c r="I161" s="10">
        <f>IF(H161="","",H161/SUM(H$157:H$161))</f>
        <v/>
      </c>
      <c r="J161" s="10">
        <f>AVERAGE('Per-Trial Conf'!$F27:$H27)</f>
        <v/>
      </c>
      <c r="K161" s="10">
        <f>IF(COUNT('Per-Trial Conf'!$F27:$H27)&gt;1,STDEV('Per-Trial Conf'!$F27:$H27)/SQRT(COUNT('Per-Trial Conf'!$F27:$H27)),0)</f>
        <v/>
      </c>
      <c r="L161" s="10">
        <f>AVERAGE('Per-Trial Conf'!$I27:$K27)</f>
        <v/>
      </c>
      <c r="M161" s="10">
        <f>IF(COUNT('Per-Trial Conf'!$I27:$K27)&gt;1,STDEV('Per-Trial Conf'!$I27:$K27)/SQRT(COUNT('Per-Trial Conf'!$I27:$K27)),0)</f>
        <v/>
      </c>
    </row>
    <row r="162">
      <c r="A162" s="6" t="n"/>
      <c r="B162" s="6" t="n"/>
      <c r="C162" s="6" t="n"/>
      <c r="D162" s="6" t="n"/>
      <c r="E162" s="6" t="inlineStr">
        <is>
          <t>SUM</t>
        </is>
      </c>
      <c r="F162" s="12" t="n"/>
      <c r="G162" s="12" t="n"/>
      <c r="H162" s="12">
        <f>SUM(H157:H161)</f>
        <v/>
      </c>
      <c r="I162" s="12">
        <f>SUM(I157:I161)</f>
        <v/>
      </c>
      <c r="J162" s="12">
        <f>SUM(J157:J161)</f>
        <v/>
      </c>
      <c r="K162" s="12" t="n"/>
      <c r="L162" s="12">
        <f>SUM(L157:L161)</f>
        <v/>
      </c>
      <c r="M162" s="12" t="n"/>
    </row>
    <row r="163">
      <c r="A163" s="6" t="n"/>
      <c r="B163" s="6" t="n"/>
      <c r="C163" s="6" t="n"/>
      <c r="D163" s="6" t="n"/>
      <c r="E163" s="6" t="inlineStr">
        <is>
          <t>ensemble charge</t>
        </is>
      </c>
      <c r="F163" s="12" t="n"/>
      <c r="G163" s="12" t="n"/>
      <c r="H163" s="12" t="n"/>
      <c r="I163" s="12">
        <f>SUMPRODUCT($F157:$F161,I157:I161)</f>
        <v/>
      </c>
      <c r="J163" s="12">
        <f>SUMPRODUCT($F157:$F161,J157:J161)</f>
        <v/>
      </c>
      <c r="K163" s="12" t="n"/>
      <c r="L163" s="12">
        <f>SUMPRODUCT($F157:$F161,L157:L161)</f>
        <v/>
      </c>
      <c r="M163" s="12" t="n"/>
    </row>
    <row r="165">
      <c r="A165" s="3" t="inlineStr">
        <is>
          <t>3UG2</t>
        </is>
      </c>
      <c r="B165" s="3" t="inlineStr">
        <is>
          <t>Gefitinib</t>
        </is>
      </c>
      <c r="C165" s="3" t="inlineStr">
        <is>
          <t>IRE+1a</t>
        </is>
      </c>
      <c r="D165" s="3" t="inlineStr">
        <is>
          <t>NAS, NBE</t>
        </is>
      </c>
      <c r="E165" s="3" t="inlineStr">
        <is>
          <t>IRE+1</t>
        </is>
      </c>
      <c r="F165" s="10">
        <f>'Per-Trial Conf'!$E56</f>
        <v/>
      </c>
      <c r="G165" s="10" t="n">
        <v>0.717</v>
      </c>
      <c r="H165" s="10">
        <f>IF(G165="","",EXP(-G165/$B$3))</f>
        <v/>
      </c>
      <c r="I165" s="10">
        <f>IF(H165="","",H165/SUM(H$165:H$169))</f>
        <v/>
      </c>
      <c r="J165" s="10">
        <f>AVERAGE('Per-Trial Conf'!$F56:$H56)</f>
        <v/>
      </c>
      <c r="K165" s="10">
        <f>IF(COUNT('Per-Trial Conf'!$F56:$H56)&gt;1,STDEV('Per-Trial Conf'!$F56:$H56)/SQRT(COUNT('Per-Trial Conf'!$F56:$H56)),0)</f>
        <v/>
      </c>
      <c r="L165" s="10">
        <f>AVERAGE('Per-Trial Conf'!$I56:$K56)</f>
        <v/>
      </c>
      <c r="M165" s="10">
        <f>IF(COUNT('Per-Trial Conf'!$I56:$K56)&gt;1,STDEV('Per-Trial Conf'!$I56:$K56)/SQRT(COUNT('Per-Trial Conf'!$I56:$K56)),0)</f>
        <v/>
      </c>
    </row>
    <row r="166">
      <c r="A166" s="3" t="inlineStr">
        <is>
          <t>3UG2</t>
        </is>
      </c>
      <c r="B166" s="3" t="inlineStr">
        <is>
          <t>Gefitinib</t>
        </is>
      </c>
      <c r="C166" s="3" t="inlineStr">
        <is>
          <t>IRE+1b</t>
        </is>
      </c>
      <c r="D166" s="3" t="inlineStr">
        <is>
          <t>N3, NAS</t>
        </is>
      </c>
      <c r="E166" s="3" t="inlineStr">
        <is>
          <t>IRE+2</t>
        </is>
      </c>
      <c r="F166" s="10">
        <f>'Per-Trial Conf'!$E57</f>
        <v/>
      </c>
      <c r="G166" s="10" t="n">
        <v>3.728</v>
      </c>
      <c r="H166" s="10">
        <f>IF(G166="","",EXP(-G166/$B$3))</f>
        <v/>
      </c>
      <c r="I166" s="10">
        <f>IF(H166="","",H166/SUM(H$165:H$169))</f>
        <v/>
      </c>
      <c r="J166" s="10">
        <f>AVERAGE('Per-Trial Conf'!$F57:$H57)</f>
        <v/>
      </c>
      <c r="K166" s="10">
        <f>IF(COUNT('Per-Trial Conf'!$F57:$H57)&gt;1,STDEV('Per-Trial Conf'!$F57:$H57)/SQRT(COUNT('Per-Trial Conf'!$F57:$H57)),0)</f>
        <v/>
      </c>
      <c r="L166" s="10">
        <f>AVERAGE('Per-Trial Conf'!$I57:$K57)</f>
        <v/>
      </c>
      <c r="M166" s="10">
        <f>IF(COUNT('Per-Trial Conf'!$I57:$K57)&gt;1,STDEV('Per-Trial Conf'!$I57:$K57)/SQRT(COUNT('Per-Trial Conf'!$I57:$K57)),0)</f>
        <v/>
      </c>
    </row>
    <row r="167">
      <c r="A167" s="3" t="inlineStr">
        <is>
          <t>3UG2</t>
        </is>
      </c>
      <c r="B167" s="3" t="inlineStr">
        <is>
          <t>Gefitinib</t>
        </is>
      </c>
      <c r="C167" s="3" t="inlineStr">
        <is>
          <t>IRE+1c</t>
        </is>
      </c>
      <c r="D167" s="3" t="inlineStr">
        <is>
          <t>N3, NAS</t>
        </is>
      </c>
      <c r="E167" s="3" t="inlineStr">
        <is>
          <t>IRE+3</t>
        </is>
      </c>
      <c r="F167" s="10">
        <f>'Per-Trial Conf'!$E58</f>
        <v/>
      </c>
      <c r="G167" s="10" t="n">
        <v>4.395</v>
      </c>
      <c r="H167" s="10">
        <f>IF(G167="","",EXP(-G167/$B$3))</f>
        <v/>
      </c>
      <c r="I167" s="10">
        <f>IF(H167="","",H167/SUM(H$165:H$169))</f>
        <v/>
      </c>
      <c r="J167" s="10">
        <f>AVERAGE('Per-Trial Conf'!$F58:$H58)</f>
        <v/>
      </c>
      <c r="K167" s="10">
        <f>IF(COUNT('Per-Trial Conf'!$F58:$H58)&gt;1,STDEV('Per-Trial Conf'!$F58:$H58)/SQRT(COUNT('Per-Trial Conf'!$F58:$H58)),0)</f>
        <v/>
      </c>
      <c r="L167" s="10">
        <f>AVERAGE('Per-Trial Conf'!$I58:$K58)</f>
        <v/>
      </c>
      <c r="M167" s="10">
        <f>IF(COUNT('Per-Trial Conf'!$I58:$K58)&gt;1,STDEV('Per-Trial Conf'!$I58:$K58)/SQRT(COUNT('Per-Trial Conf'!$I58:$K58)),0)</f>
        <v/>
      </c>
    </row>
    <row r="168">
      <c r="A168" s="3" t="inlineStr">
        <is>
          <t>3UG2</t>
        </is>
      </c>
      <c r="B168" s="3" t="inlineStr">
        <is>
          <t>Gefitinib</t>
        </is>
      </c>
      <c r="C168" s="3" t="inlineStr">
        <is>
          <t>IRE+2</t>
        </is>
      </c>
      <c r="D168" s="3" t="inlineStr">
        <is>
          <t>N3, NAS, NBE</t>
        </is>
      </c>
      <c r="E168" s="3" t="inlineStr">
        <is>
          <t>IRE+a</t>
        </is>
      </c>
      <c r="F168" s="10">
        <f>'Per-Trial Conf'!$E59</f>
        <v/>
      </c>
      <c r="G168" s="10" t="n">
        <v>4.412</v>
      </c>
      <c r="H168" s="10">
        <f>IF(G168="","",EXP(-G168/$B$3))</f>
        <v/>
      </c>
      <c r="I168" s="10">
        <f>IF(H168="","",H168/SUM(H$165:H$169))</f>
        <v/>
      </c>
      <c r="J168" s="10">
        <f>AVERAGE('Per-Trial Conf'!$F59:$H59)</f>
        <v/>
      </c>
      <c r="K168" s="10">
        <f>IF(COUNT('Per-Trial Conf'!$F59:$H59)&gt;1,STDEV('Per-Trial Conf'!$F59:$H59)/SQRT(COUNT('Per-Trial Conf'!$F59:$H59)),0)</f>
        <v/>
      </c>
      <c r="L168" s="10">
        <f>AVERAGE('Per-Trial Conf'!$I59:$K59)</f>
        <v/>
      </c>
      <c r="M168" s="10">
        <f>IF(COUNT('Per-Trial Conf'!$I59:$K59)&gt;1,STDEV('Per-Trial Conf'!$I59:$K59)/SQRT(COUNT('Per-Trial Conf'!$I59:$K59)),0)</f>
        <v/>
      </c>
    </row>
    <row r="169">
      <c r="A169" s="3" t="inlineStr">
        <is>
          <t>3UG2</t>
        </is>
      </c>
      <c r="B169" s="3" t="inlineStr">
        <is>
          <t>Gefitinib</t>
        </is>
      </c>
      <c r="C169" s="3" t="inlineStr">
        <is>
          <t>IRE 0</t>
        </is>
      </c>
      <c r="D169" s="3" t="inlineStr">
        <is>
          <t>NAS</t>
        </is>
      </c>
      <c r="E169" s="3" t="inlineStr">
        <is>
          <t>IRE01</t>
        </is>
      </c>
      <c r="F169" s="10">
        <f>'Per-Trial Conf'!$E60</f>
        <v/>
      </c>
      <c r="G169" s="10" t="n">
        <v>0.212</v>
      </c>
      <c r="H169" s="10">
        <f>IF(G169="","",EXP(-G169/$B$3))</f>
        <v/>
      </c>
      <c r="I169" s="10">
        <f>IF(H169="","",H169/SUM(H$165:H$169))</f>
        <v/>
      </c>
      <c r="J169" s="10">
        <f>AVERAGE('Per-Trial Conf'!$F60:$H60)</f>
        <v/>
      </c>
      <c r="K169" s="10">
        <f>IF(COUNT('Per-Trial Conf'!$F60:$H60)&gt;1,STDEV('Per-Trial Conf'!$F60:$H60)/SQRT(COUNT('Per-Trial Conf'!$F60:$H60)),0)</f>
        <v/>
      </c>
      <c r="L169" s="10">
        <f>AVERAGE('Per-Trial Conf'!$I60:$K60)</f>
        <v/>
      </c>
      <c r="M169" s="10">
        <f>IF(COUNT('Per-Trial Conf'!$I60:$K60)&gt;1,STDEV('Per-Trial Conf'!$I60:$K60)/SQRT(COUNT('Per-Trial Conf'!$I60:$K60)),0)</f>
        <v/>
      </c>
    </row>
    <row r="170">
      <c r="A170" s="6" t="n"/>
      <c r="B170" s="6" t="n"/>
      <c r="C170" s="6" t="n"/>
      <c r="D170" s="6" t="n"/>
      <c r="E170" s="6" t="inlineStr">
        <is>
          <t>SUM</t>
        </is>
      </c>
      <c r="F170" s="12" t="n"/>
      <c r="G170" s="12" t="n"/>
      <c r="H170" s="12">
        <f>SUM(H165:H169)</f>
        <v/>
      </c>
      <c r="I170" s="12">
        <f>SUM(I165:I169)</f>
        <v/>
      </c>
      <c r="J170" s="12">
        <f>SUM(J165:J169)</f>
        <v/>
      </c>
      <c r="K170" s="12" t="n"/>
      <c r="L170" s="12">
        <f>SUM(L165:L169)</f>
        <v/>
      </c>
      <c r="M170" s="12" t="n"/>
    </row>
    <row r="171">
      <c r="A171" s="6" t="n"/>
      <c r="B171" s="6" t="n"/>
      <c r="C171" s="6" t="n"/>
      <c r="D171" s="6" t="n"/>
      <c r="E171" s="6" t="inlineStr">
        <is>
          <t>ensemble charge</t>
        </is>
      </c>
      <c r="F171" s="12" t="n"/>
      <c r="G171" s="12" t="n"/>
      <c r="H171" s="12" t="n"/>
      <c r="I171" s="12">
        <f>SUMPRODUCT($F165:$F169,I165:I169)</f>
        <v/>
      </c>
      <c r="J171" s="12">
        <f>SUMPRODUCT($F165:$F169,J165:J169)</f>
        <v/>
      </c>
      <c r="K171" s="12" t="n"/>
      <c r="L171" s="12">
        <f>SUMPRODUCT($F165:$F169,L165:L169)</f>
        <v/>
      </c>
      <c r="M171" s="12" t="n"/>
    </row>
    <row r="173">
      <c r="A173" s="3" t="inlineStr">
        <is>
          <t>4I22</t>
        </is>
      </c>
      <c r="B173" s="3" t="inlineStr">
        <is>
          <t>Gefitinib</t>
        </is>
      </c>
      <c r="C173" s="3" t="inlineStr">
        <is>
          <t>IRE+1a</t>
        </is>
      </c>
      <c r="D173" s="3" t="inlineStr">
        <is>
          <t>NAS, NBE</t>
        </is>
      </c>
      <c r="E173" s="3" t="inlineStr">
        <is>
          <t>IRE+1</t>
        </is>
      </c>
      <c r="F173" s="10">
        <f>'Per-Trial Conf'!$E105</f>
        <v/>
      </c>
      <c r="G173" s="10" t="n">
        <v>0.717</v>
      </c>
      <c r="H173" s="10">
        <f>IF(G173="","",EXP(-G173/$B$3))</f>
        <v/>
      </c>
      <c r="I173" s="10">
        <f>IF(H173="","",H173/SUM(H$173:H$177))</f>
        <v/>
      </c>
      <c r="J173" s="10">
        <f>AVERAGE('Per-Trial Conf'!$F105:$H105)</f>
        <v/>
      </c>
      <c r="K173" s="10">
        <f>IF(COUNT('Per-Trial Conf'!$F105:$H105)&gt;1,STDEV('Per-Trial Conf'!$F105:$H105)/SQRT(COUNT('Per-Trial Conf'!$F105:$H105)),0)</f>
        <v/>
      </c>
      <c r="L173" s="10">
        <f>AVERAGE('Per-Trial Conf'!$I105:$K105)</f>
        <v/>
      </c>
      <c r="M173" s="10">
        <f>IF(COUNT('Per-Trial Conf'!$I105:$K105)&gt;1,STDEV('Per-Trial Conf'!$I105:$K105)/SQRT(COUNT('Per-Trial Conf'!$I105:$K105)),0)</f>
        <v/>
      </c>
    </row>
    <row r="174">
      <c r="A174" s="3" t="inlineStr">
        <is>
          <t>4I22</t>
        </is>
      </c>
      <c r="B174" s="3" t="inlineStr">
        <is>
          <t>Gefitinib</t>
        </is>
      </c>
      <c r="C174" s="3" t="inlineStr">
        <is>
          <t>IRE+1b</t>
        </is>
      </c>
      <c r="D174" s="3" t="inlineStr">
        <is>
          <t>N3, NAS</t>
        </is>
      </c>
      <c r="E174" s="3" t="inlineStr">
        <is>
          <t>IRE+2</t>
        </is>
      </c>
      <c r="F174" s="10">
        <f>'Per-Trial Conf'!$E106</f>
        <v/>
      </c>
      <c r="G174" s="10" t="n">
        <v>3.728</v>
      </c>
      <c r="H174" s="10">
        <f>IF(G174="","",EXP(-G174/$B$3))</f>
        <v/>
      </c>
      <c r="I174" s="10">
        <f>IF(H174="","",H174/SUM(H$173:H$177))</f>
        <v/>
      </c>
      <c r="J174" s="10">
        <f>AVERAGE('Per-Trial Conf'!$F106:$H106)</f>
        <v/>
      </c>
      <c r="K174" s="10">
        <f>IF(COUNT('Per-Trial Conf'!$F106:$H106)&gt;1,STDEV('Per-Trial Conf'!$F106:$H106)/SQRT(COUNT('Per-Trial Conf'!$F106:$H106)),0)</f>
        <v/>
      </c>
      <c r="L174" s="10">
        <f>AVERAGE('Per-Trial Conf'!$I106:$K106)</f>
        <v/>
      </c>
      <c r="M174" s="10">
        <f>IF(COUNT('Per-Trial Conf'!$I106:$K106)&gt;1,STDEV('Per-Trial Conf'!$I106:$K106)/SQRT(COUNT('Per-Trial Conf'!$I106:$K106)),0)</f>
        <v/>
      </c>
    </row>
    <row r="175">
      <c r="A175" s="3" t="inlineStr">
        <is>
          <t>4I22</t>
        </is>
      </c>
      <c r="B175" s="3" t="inlineStr">
        <is>
          <t>Gefitinib</t>
        </is>
      </c>
      <c r="C175" s="3" t="inlineStr">
        <is>
          <t>IRE+1c</t>
        </is>
      </c>
      <c r="D175" s="3" t="inlineStr">
        <is>
          <t>N3, NAS</t>
        </is>
      </c>
      <c r="E175" s="3" t="inlineStr">
        <is>
          <t>IRE+3</t>
        </is>
      </c>
      <c r="F175" s="10">
        <f>'Per-Trial Conf'!$E107</f>
        <v/>
      </c>
      <c r="G175" s="10" t="n">
        <v>4.395</v>
      </c>
      <c r="H175" s="10">
        <f>IF(G175="","",EXP(-G175/$B$3))</f>
        <v/>
      </c>
      <c r="I175" s="10">
        <f>IF(H175="","",H175/SUM(H$173:H$177))</f>
        <v/>
      </c>
      <c r="J175" s="10">
        <f>AVERAGE('Per-Trial Conf'!$F107:$H107)</f>
        <v/>
      </c>
      <c r="K175" s="10">
        <f>IF(COUNT('Per-Trial Conf'!$F107:$H107)&gt;1,STDEV('Per-Trial Conf'!$F107:$H107)/SQRT(COUNT('Per-Trial Conf'!$F107:$H107)),0)</f>
        <v/>
      </c>
      <c r="L175" s="10">
        <f>AVERAGE('Per-Trial Conf'!$I107:$K107)</f>
        <v/>
      </c>
      <c r="M175" s="10">
        <f>IF(COUNT('Per-Trial Conf'!$I107:$K107)&gt;1,STDEV('Per-Trial Conf'!$I107:$K107)/SQRT(COUNT('Per-Trial Conf'!$I107:$K107)),0)</f>
        <v/>
      </c>
    </row>
    <row r="176">
      <c r="A176" s="3" t="inlineStr">
        <is>
          <t>4I22</t>
        </is>
      </c>
      <c r="B176" s="3" t="inlineStr">
        <is>
          <t>Gefitinib</t>
        </is>
      </c>
      <c r="C176" s="3" t="inlineStr">
        <is>
          <t>IRE+2</t>
        </is>
      </c>
      <c r="D176" s="3" t="inlineStr">
        <is>
          <t>N3, NAS, NBE</t>
        </is>
      </c>
      <c r="E176" s="3" t="inlineStr">
        <is>
          <t>IRE+a</t>
        </is>
      </c>
      <c r="F176" s="10">
        <f>'Per-Trial Conf'!$E108</f>
        <v/>
      </c>
      <c r="G176" s="10" t="n">
        <v>4.412</v>
      </c>
      <c r="H176" s="10">
        <f>IF(G176="","",EXP(-G176/$B$3))</f>
        <v/>
      </c>
      <c r="I176" s="10">
        <f>IF(H176="","",H176/SUM(H$173:H$177))</f>
        <v/>
      </c>
      <c r="J176" s="10">
        <f>AVERAGE('Per-Trial Conf'!$F108:$H108)</f>
        <v/>
      </c>
      <c r="K176" s="10">
        <f>IF(COUNT('Per-Trial Conf'!$F108:$H108)&gt;1,STDEV('Per-Trial Conf'!$F108:$H108)/SQRT(COUNT('Per-Trial Conf'!$F108:$H108)),0)</f>
        <v/>
      </c>
      <c r="L176" s="10">
        <f>AVERAGE('Per-Trial Conf'!$I108:$K108)</f>
        <v/>
      </c>
      <c r="M176" s="10">
        <f>IF(COUNT('Per-Trial Conf'!$I108:$K108)&gt;1,STDEV('Per-Trial Conf'!$I108:$K108)/SQRT(COUNT('Per-Trial Conf'!$I108:$K108)),0)</f>
        <v/>
      </c>
    </row>
    <row r="177">
      <c r="A177" s="3" t="inlineStr">
        <is>
          <t>4I22</t>
        </is>
      </c>
      <c r="B177" s="3" t="inlineStr">
        <is>
          <t>Gefitinib</t>
        </is>
      </c>
      <c r="C177" s="3" t="inlineStr">
        <is>
          <t>IRE 0</t>
        </is>
      </c>
      <c r="D177" s="3" t="inlineStr">
        <is>
          <t>NAS</t>
        </is>
      </c>
      <c r="E177" s="3" t="inlineStr">
        <is>
          <t>IRE01</t>
        </is>
      </c>
      <c r="F177" s="10">
        <f>'Per-Trial Conf'!$E109</f>
        <v/>
      </c>
      <c r="G177" s="10" t="n">
        <v>0.212</v>
      </c>
      <c r="H177" s="10">
        <f>IF(G177="","",EXP(-G177/$B$3))</f>
        <v/>
      </c>
      <c r="I177" s="10">
        <f>IF(H177="","",H177/SUM(H$173:H$177))</f>
        <v/>
      </c>
      <c r="J177" s="10">
        <f>AVERAGE('Per-Trial Conf'!$F109:$H109)</f>
        <v/>
      </c>
      <c r="K177" s="10">
        <f>IF(COUNT('Per-Trial Conf'!$F109:$H109)&gt;1,STDEV('Per-Trial Conf'!$F109:$H109)/SQRT(COUNT('Per-Trial Conf'!$F109:$H109)),0)</f>
        <v/>
      </c>
      <c r="L177" s="10">
        <f>AVERAGE('Per-Trial Conf'!$I109:$K109)</f>
        <v/>
      </c>
      <c r="M177" s="10">
        <f>IF(COUNT('Per-Trial Conf'!$I109:$K109)&gt;1,STDEV('Per-Trial Conf'!$I109:$K109)/SQRT(COUNT('Per-Trial Conf'!$I109:$K109)),0)</f>
        <v/>
      </c>
    </row>
    <row r="178">
      <c r="A178" s="6" t="n"/>
      <c r="B178" s="6" t="n"/>
      <c r="C178" s="6" t="n"/>
      <c r="D178" s="6" t="n"/>
      <c r="E178" s="6" t="inlineStr">
        <is>
          <t>SUM</t>
        </is>
      </c>
      <c r="F178" s="12" t="n"/>
      <c r="G178" s="12" t="n"/>
      <c r="H178" s="12">
        <f>SUM(H173:H177)</f>
        <v/>
      </c>
      <c r="I178" s="12">
        <f>SUM(I173:I177)</f>
        <v/>
      </c>
      <c r="J178" s="12">
        <f>SUM(J173:J177)</f>
        <v/>
      </c>
      <c r="K178" s="12" t="n"/>
      <c r="L178" s="12">
        <f>SUM(L173:L177)</f>
        <v/>
      </c>
      <c r="M178" s="12" t="n"/>
    </row>
    <row r="179">
      <c r="A179" s="6" t="n"/>
      <c r="B179" s="6" t="n"/>
      <c r="C179" s="6" t="n"/>
      <c r="D179" s="6" t="n"/>
      <c r="E179" s="6" t="inlineStr">
        <is>
          <t>ensemble charge</t>
        </is>
      </c>
      <c r="F179" s="12" t="n"/>
      <c r="G179" s="12" t="n"/>
      <c r="H179" s="12" t="n"/>
      <c r="I179" s="12">
        <f>SUMPRODUCT($F173:$F177,I173:I177)</f>
        <v/>
      </c>
      <c r="J179" s="12">
        <f>SUMPRODUCT($F173:$F177,J173:J177)</f>
        <v/>
      </c>
      <c r="K179" s="12" t="n"/>
      <c r="L179" s="12">
        <f>SUMPRODUCT($F173:$F177,L173:L177)</f>
        <v/>
      </c>
      <c r="M179" s="12" t="n"/>
    </row>
    <row r="181">
      <c r="A181" s="3" t="inlineStr">
        <is>
          <t>4WKQ</t>
        </is>
      </c>
      <c r="B181" s="3" t="inlineStr">
        <is>
          <t>Gefitinib</t>
        </is>
      </c>
      <c r="C181" s="3" t="inlineStr">
        <is>
          <t>IRE+1a</t>
        </is>
      </c>
      <c r="D181" s="3" t="inlineStr">
        <is>
          <t>NAS, NBE</t>
        </is>
      </c>
      <c r="E181" s="3" t="inlineStr">
        <is>
          <t>IRE+1</t>
        </is>
      </c>
      <c r="F181" s="10">
        <f>'Per-Trial Conf'!$E116</f>
        <v/>
      </c>
      <c r="G181" s="10" t="n">
        <v>0.717</v>
      </c>
      <c r="H181" s="10">
        <f>IF(G181="","",EXP(-G181/$B$3))</f>
        <v/>
      </c>
      <c r="I181" s="10">
        <f>IF(H181="","",H181/SUM(H$181:H$185))</f>
        <v/>
      </c>
      <c r="J181" s="10">
        <f>AVERAGE('Per-Trial Conf'!$F116:$H116)</f>
        <v/>
      </c>
      <c r="K181" s="10">
        <f>IF(COUNT('Per-Trial Conf'!$F116:$H116)&gt;1,STDEV('Per-Trial Conf'!$F116:$H116)/SQRT(COUNT('Per-Trial Conf'!$F116:$H116)),0)</f>
        <v/>
      </c>
      <c r="L181" s="10">
        <f>AVERAGE('Per-Trial Conf'!$I116:$K116)</f>
        <v/>
      </c>
      <c r="M181" s="10">
        <f>IF(COUNT('Per-Trial Conf'!$I116:$K116)&gt;1,STDEV('Per-Trial Conf'!$I116:$K116)/SQRT(COUNT('Per-Trial Conf'!$I116:$K116)),0)</f>
        <v/>
      </c>
    </row>
    <row r="182">
      <c r="A182" s="3" t="inlineStr">
        <is>
          <t>4WKQ</t>
        </is>
      </c>
      <c r="B182" s="3" t="inlineStr">
        <is>
          <t>Gefitinib</t>
        </is>
      </c>
      <c r="C182" s="3" t="inlineStr">
        <is>
          <t>IRE+1b</t>
        </is>
      </c>
      <c r="D182" s="3" t="inlineStr">
        <is>
          <t>N3, NAS</t>
        </is>
      </c>
      <c r="E182" s="3" t="inlineStr">
        <is>
          <t>IRE+2</t>
        </is>
      </c>
      <c r="F182" s="10">
        <f>'Per-Trial Conf'!$E117</f>
        <v/>
      </c>
      <c r="G182" s="10" t="n">
        <v>3.728</v>
      </c>
      <c r="H182" s="10">
        <f>IF(G182="","",EXP(-G182/$B$3))</f>
        <v/>
      </c>
      <c r="I182" s="10">
        <f>IF(H182="","",H182/SUM(H$181:H$185))</f>
        <v/>
      </c>
      <c r="J182" s="10">
        <f>AVERAGE('Per-Trial Conf'!$F117:$H117)</f>
        <v/>
      </c>
      <c r="K182" s="10">
        <f>IF(COUNT('Per-Trial Conf'!$F117:$H117)&gt;1,STDEV('Per-Trial Conf'!$F117:$H117)/SQRT(COUNT('Per-Trial Conf'!$F117:$H117)),0)</f>
        <v/>
      </c>
      <c r="L182" s="10">
        <f>AVERAGE('Per-Trial Conf'!$I117:$K117)</f>
        <v/>
      </c>
      <c r="M182" s="10">
        <f>IF(COUNT('Per-Trial Conf'!$I117:$K117)&gt;1,STDEV('Per-Trial Conf'!$I117:$K117)/SQRT(COUNT('Per-Trial Conf'!$I117:$K117)),0)</f>
        <v/>
      </c>
    </row>
    <row r="183">
      <c r="A183" s="3" t="inlineStr">
        <is>
          <t>4WKQ</t>
        </is>
      </c>
      <c r="B183" s="3" t="inlineStr">
        <is>
          <t>Gefitinib</t>
        </is>
      </c>
      <c r="C183" s="3" t="inlineStr">
        <is>
          <t>IRE+1c</t>
        </is>
      </c>
      <c r="D183" s="3" t="inlineStr">
        <is>
          <t>N3, NAS</t>
        </is>
      </c>
      <c r="E183" s="3" t="inlineStr">
        <is>
          <t>IRE+3</t>
        </is>
      </c>
      <c r="F183" s="10">
        <f>'Per-Trial Conf'!$E118</f>
        <v/>
      </c>
      <c r="G183" s="10" t="n">
        <v>4.395</v>
      </c>
      <c r="H183" s="10">
        <f>IF(G183="","",EXP(-G183/$B$3))</f>
        <v/>
      </c>
      <c r="I183" s="10">
        <f>IF(H183="","",H183/SUM(H$181:H$185))</f>
        <v/>
      </c>
      <c r="J183" s="10">
        <f>AVERAGE('Per-Trial Conf'!$F118:$H118)</f>
        <v/>
      </c>
      <c r="K183" s="10">
        <f>IF(COUNT('Per-Trial Conf'!$F118:$H118)&gt;1,STDEV('Per-Trial Conf'!$F118:$H118)/SQRT(COUNT('Per-Trial Conf'!$F118:$H118)),0)</f>
        <v/>
      </c>
      <c r="L183" s="10">
        <f>AVERAGE('Per-Trial Conf'!$I118:$K118)</f>
        <v/>
      </c>
      <c r="M183" s="10">
        <f>IF(COUNT('Per-Trial Conf'!$I118:$K118)&gt;1,STDEV('Per-Trial Conf'!$I118:$K118)/SQRT(COUNT('Per-Trial Conf'!$I118:$K118)),0)</f>
        <v/>
      </c>
    </row>
    <row r="184">
      <c r="A184" s="3" t="inlineStr">
        <is>
          <t>4WKQ</t>
        </is>
      </c>
      <c r="B184" s="3" t="inlineStr">
        <is>
          <t>Gefitinib</t>
        </is>
      </c>
      <c r="C184" s="3" t="inlineStr">
        <is>
          <t>IRE+2</t>
        </is>
      </c>
      <c r="D184" s="3" t="inlineStr">
        <is>
          <t>N3, NAS, NBE</t>
        </is>
      </c>
      <c r="E184" s="3" t="inlineStr">
        <is>
          <t>IRE+a</t>
        </is>
      </c>
      <c r="F184" s="10">
        <f>'Per-Trial Conf'!$E119</f>
        <v/>
      </c>
      <c r="G184" s="10" t="n">
        <v>4.412</v>
      </c>
      <c r="H184" s="10">
        <f>IF(G184="","",EXP(-G184/$B$3))</f>
        <v/>
      </c>
      <c r="I184" s="10">
        <f>IF(H184="","",H184/SUM(H$181:H$185))</f>
        <v/>
      </c>
      <c r="J184" s="10">
        <f>AVERAGE('Per-Trial Conf'!$F119:$H119)</f>
        <v/>
      </c>
      <c r="K184" s="10">
        <f>IF(COUNT('Per-Trial Conf'!$F119:$H119)&gt;1,STDEV('Per-Trial Conf'!$F119:$H119)/SQRT(COUNT('Per-Trial Conf'!$F119:$H119)),0)</f>
        <v/>
      </c>
      <c r="L184" s="10">
        <f>AVERAGE('Per-Trial Conf'!$I119:$K119)</f>
        <v/>
      </c>
      <c r="M184" s="10">
        <f>IF(COUNT('Per-Trial Conf'!$I119:$K119)&gt;1,STDEV('Per-Trial Conf'!$I119:$K119)/SQRT(COUNT('Per-Trial Conf'!$I119:$K119)),0)</f>
        <v/>
      </c>
    </row>
    <row r="185">
      <c r="A185" s="3" t="inlineStr">
        <is>
          <t>4WKQ</t>
        </is>
      </c>
      <c r="B185" s="3" t="inlineStr">
        <is>
          <t>Gefitinib</t>
        </is>
      </c>
      <c r="C185" s="3" t="inlineStr">
        <is>
          <t>IRE 0</t>
        </is>
      </c>
      <c r="D185" s="3" t="inlineStr">
        <is>
          <t>NAS</t>
        </is>
      </c>
      <c r="E185" s="3" t="inlineStr">
        <is>
          <t>IRE01</t>
        </is>
      </c>
      <c r="F185" s="10">
        <f>'Per-Trial Conf'!$E120</f>
        <v/>
      </c>
      <c r="G185" s="10" t="n">
        <v>0.212</v>
      </c>
      <c r="H185" s="10">
        <f>IF(G185="","",EXP(-G185/$B$3))</f>
        <v/>
      </c>
      <c r="I185" s="10">
        <f>IF(H185="","",H185/SUM(H$181:H$185))</f>
        <v/>
      </c>
      <c r="J185" s="10">
        <f>AVERAGE('Per-Trial Conf'!$F120:$H120)</f>
        <v/>
      </c>
      <c r="K185" s="10">
        <f>IF(COUNT('Per-Trial Conf'!$F120:$H120)&gt;1,STDEV('Per-Trial Conf'!$F120:$H120)/SQRT(COUNT('Per-Trial Conf'!$F120:$H120)),0)</f>
        <v/>
      </c>
      <c r="L185" s="10">
        <f>AVERAGE('Per-Trial Conf'!$I120:$K120)</f>
        <v/>
      </c>
      <c r="M185" s="10">
        <f>IF(COUNT('Per-Trial Conf'!$I120:$K120)&gt;1,STDEV('Per-Trial Conf'!$I120:$K120)/SQRT(COUNT('Per-Trial Conf'!$I120:$K120)),0)</f>
        <v/>
      </c>
    </row>
    <row r="186">
      <c r="A186" s="6" t="n"/>
      <c r="B186" s="6" t="n"/>
      <c r="C186" s="6" t="n"/>
      <c r="D186" s="6" t="n"/>
      <c r="E186" s="6" t="inlineStr">
        <is>
          <t>SUM</t>
        </is>
      </c>
      <c r="F186" s="12" t="n"/>
      <c r="G186" s="12" t="n"/>
      <c r="H186" s="12">
        <f>SUM(H181:H185)</f>
        <v/>
      </c>
      <c r="I186" s="12">
        <f>SUM(I181:I185)</f>
        <v/>
      </c>
      <c r="J186" s="12">
        <f>SUM(J181:J185)</f>
        <v/>
      </c>
      <c r="K186" s="12" t="n"/>
      <c r="L186" s="12">
        <f>SUM(L181:L185)</f>
        <v/>
      </c>
      <c r="M186" s="12" t="n"/>
    </row>
    <row r="187">
      <c r="A187" s="6" t="n"/>
      <c r="B187" s="6" t="n"/>
      <c r="C187" s="6" t="n"/>
      <c r="D187" s="6" t="n"/>
      <c r="E187" s="6" t="inlineStr">
        <is>
          <t>ensemble charge</t>
        </is>
      </c>
      <c r="F187" s="12" t="n"/>
      <c r="G187" s="12" t="n"/>
      <c r="H187" s="12" t="n"/>
      <c r="I187" s="12">
        <f>SUMPRODUCT($F181:$F185,I181:I185)</f>
        <v/>
      </c>
      <c r="J187" s="12">
        <f>SUMPRODUCT($F181:$F185,J181:J185)</f>
        <v/>
      </c>
      <c r="K187" s="12" t="n"/>
      <c r="L187" s="12">
        <f>SUMPRODUCT($F181:$F185,L181:L185)</f>
        <v/>
      </c>
      <c r="M187" s="12" t="n"/>
    </row>
    <row r="189">
      <c r="A189" s="3" t="inlineStr">
        <is>
          <t>1XKK</t>
        </is>
      </c>
      <c r="B189" s="3" t="inlineStr">
        <is>
          <t>Lapatinib</t>
        </is>
      </c>
      <c r="C189" s="3" t="inlineStr">
        <is>
          <t>FMM+1</t>
        </is>
      </c>
      <c r="D189" s="3" t="inlineStr">
        <is>
          <t>N22, N7</t>
        </is>
      </c>
      <c r="E189" s="3" t="inlineStr">
        <is>
          <t>FMM+1</t>
        </is>
      </c>
      <c r="F189" s="10">
        <f>'Per-Trial Conf'!$E3</f>
        <v/>
      </c>
      <c r="G189" s="10" t="n">
        <v>0.031</v>
      </c>
      <c r="H189" s="10">
        <f>IF(G189="","",EXP(-G189/$B$3))</f>
        <v/>
      </c>
      <c r="I189" s="10">
        <f>IF(H189="","",H189/SUM(H$189:H$191))</f>
        <v/>
      </c>
      <c r="J189" s="10">
        <f>AVERAGE('Per-Trial Conf'!$F3:$H3)</f>
        <v/>
      </c>
      <c r="K189" s="10">
        <f>IF(COUNT('Per-Trial Conf'!$F3:$H3)&gt;1,STDEV('Per-Trial Conf'!$F3:$H3)/SQRT(COUNT('Per-Trial Conf'!$F3:$H3)),0)</f>
        <v/>
      </c>
      <c r="L189" s="10">
        <f>AVERAGE('Per-Trial Conf'!$I3:$K3)</f>
        <v/>
      </c>
      <c r="M189" s="10">
        <f>IF(COUNT('Per-Trial Conf'!$I3:$K3)&gt;1,STDEV('Per-Trial Conf'!$I3:$K3)/SQRT(COUNT('Per-Trial Conf'!$I3:$K3)),0)</f>
        <v/>
      </c>
    </row>
    <row r="190">
      <c r="A190" s="3" t="inlineStr">
        <is>
          <t>1XKK</t>
        </is>
      </c>
      <c r="B190" s="3" t="inlineStr">
        <is>
          <t>Lapatinib</t>
        </is>
      </c>
      <c r="C190" s="3" t="inlineStr">
        <is>
          <t>FMM+2</t>
        </is>
      </c>
      <c r="D190" s="3" t="inlineStr">
        <is>
          <t>N18, N22, N7</t>
        </is>
      </c>
      <c r="E190" s="3" t="inlineStr">
        <is>
          <t>FMM+a</t>
        </is>
      </c>
      <c r="F190" s="10">
        <f>'Per-Trial Conf'!$E4</f>
        <v/>
      </c>
      <c r="G190" s="10" t="n">
        <v>5.085</v>
      </c>
      <c r="H190" s="10">
        <f>IF(G190="","",EXP(-G190/$B$3))</f>
        <v/>
      </c>
      <c r="I190" s="10">
        <f>IF(H190="","",H190/SUM(H$189:H$191))</f>
        <v/>
      </c>
      <c r="J190" s="10">
        <f>AVERAGE('Per-Trial Conf'!$F4:$H4)</f>
        <v/>
      </c>
      <c r="K190" s="10">
        <f>IF(COUNT('Per-Trial Conf'!$F4:$H4)&gt;1,STDEV('Per-Trial Conf'!$F4:$H4)/SQRT(COUNT('Per-Trial Conf'!$F4:$H4)),0)</f>
        <v/>
      </c>
      <c r="L190" s="10">
        <f>AVERAGE('Per-Trial Conf'!$I4:$K4)</f>
        <v/>
      </c>
      <c r="M190" s="10">
        <f>IF(COUNT('Per-Trial Conf'!$I4:$K4)&gt;1,STDEV('Per-Trial Conf'!$I4:$K4)/SQRT(COUNT('Per-Trial Conf'!$I4:$K4)),0)</f>
        <v/>
      </c>
    </row>
    <row r="191">
      <c r="A191" s="3" t="inlineStr">
        <is>
          <t>1XKK</t>
        </is>
      </c>
      <c r="B191" s="3" t="inlineStr">
        <is>
          <t>Lapatinib</t>
        </is>
      </c>
      <c r="C191" s="3" t="inlineStr">
        <is>
          <t>FMM 0</t>
        </is>
      </c>
      <c r="D191" s="3" t="inlineStr">
        <is>
          <t>N22, N7</t>
        </is>
      </c>
      <c r="E191" s="3" t="inlineStr">
        <is>
          <t>FMM01</t>
        </is>
      </c>
      <c r="F191" s="10">
        <f>'Per-Trial Conf'!$E5</f>
        <v/>
      </c>
      <c r="G191" s="10" t="n">
        <v>1.766</v>
      </c>
      <c r="H191" s="10">
        <f>IF(G191="","",EXP(-G191/$B$3))</f>
        <v/>
      </c>
      <c r="I191" s="10">
        <f>IF(H191="","",H191/SUM(H$189:H$191))</f>
        <v/>
      </c>
      <c r="J191" s="10">
        <f>AVERAGE('Per-Trial Conf'!$F5:$H5)</f>
        <v/>
      </c>
      <c r="K191" s="10">
        <f>IF(COUNT('Per-Trial Conf'!$F5:$H5)&gt;1,STDEV('Per-Trial Conf'!$F5:$H5)/SQRT(COUNT('Per-Trial Conf'!$F5:$H5)),0)</f>
        <v/>
      </c>
      <c r="L191" s="10">
        <f>AVERAGE('Per-Trial Conf'!$I5:$K5)</f>
        <v/>
      </c>
      <c r="M191" s="10">
        <f>IF(COUNT('Per-Trial Conf'!$I5:$K5)&gt;1,STDEV('Per-Trial Conf'!$I5:$K5)/SQRT(COUNT('Per-Trial Conf'!$I5:$K5)),0)</f>
        <v/>
      </c>
    </row>
    <row r="192">
      <c r="A192" s="6" t="n"/>
      <c r="B192" s="6" t="n"/>
      <c r="C192" s="6" t="n"/>
      <c r="D192" s="6" t="n"/>
      <c r="E192" s="6" t="inlineStr">
        <is>
          <t>SUM</t>
        </is>
      </c>
      <c r="F192" s="12" t="n"/>
      <c r="G192" s="12" t="n"/>
      <c r="H192" s="12">
        <f>SUM(H189:H191)</f>
        <v/>
      </c>
      <c r="I192" s="12">
        <f>SUM(I189:I191)</f>
        <v/>
      </c>
      <c r="J192" s="12">
        <f>SUM(J189:J191)</f>
        <v/>
      </c>
      <c r="K192" s="12" t="n"/>
      <c r="L192" s="12">
        <f>SUM(L189:L191)</f>
        <v/>
      </c>
      <c r="M192" s="12" t="n"/>
    </row>
    <row r="193">
      <c r="A193" s="6" t="n"/>
      <c r="B193" s="6" t="n"/>
      <c r="C193" s="6" t="n"/>
      <c r="D193" s="6" t="n"/>
      <c r="E193" s="6" t="inlineStr">
        <is>
          <t>ensemble charge</t>
        </is>
      </c>
      <c r="F193" s="12" t="n"/>
      <c r="G193" s="12" t="n"/>
      <c r="H193" s="12" t="n"/>
      <c r="I193" s="12">
        <f>SUMPRODUCT($F189:$F191,I189:I191)</f>
        <v/>
      </c>
      <c r="J193" s="12">
        <f>SUMPRODUCT($F189:$F191,J189:J191)</f>
        <v/>
      </c>
      <c r="K193" s="12" t="n"/>
      <c r="L193" s="12">
        <f>SUMPRODUCT($F189:$F191,L189:L191)</f>
        <v/>
      </c>
      <c r="M193" s="12" t="n"/>
    </row>
    <row r="195">
      <c r="A195" s="3" t="inlineStr">
        <is>
          <t>4ZAU</t>
        </is>
      </c>
      <c r="B195" s="3" t="inlineStr">
        <is>
          <t>Osimertinib</t>
        </is>
      </c>
      <c r="C195" s="3" t="inlineStr">
        <is>
          <t>YY3+1a</t>
        </is>
      </c>
      <c r="D195" s="3" t="inlineStr">
        <is>
          <t>N, N2, N3</t>
        </is>
      </c>
      <c r="E195" s="3" t="inlineStr">
        <is>
          <t>YY3+1</t>
        </is>
      </c>
      <c r="F195" s="10">
        <f>'Per-Trial Conf'!$E121</f>
        <v/>
      </c>
      <c r="G195" s="10" t="n">
        <v>0.016</v>
      </c>
      <c r="H195" s="10">
        <f>IF(G195="","",EXP(-G195/$B$3))</f>
        <v/>
      </c>
      <c r="I195" s="10">
        <f>IF(H195="","",H195/SUM(H$195:H$201))</f>
        <v/>
      </c>
      <c r="J195" s="10">
        <f>AVERAGE('Per-Trial Conf'!$F121:$H121)</f>
        <v/>
      </c>
      <c r="K195" s="10">
        <f>IF(COUNT('Per-Trial Conf'!$F121:$H121)&gt;1,STDEV('Per-Trial Conf'!$F121:$H121)/SQRT(COUNT('Per-Trial Conf'!$F121:$H121)),0)</f>
        <v/>
      </c>
      <c r="L195" s="10">
        <f>AVERAGE('Per-Trial Conf'!$I121:$K121)</f>
        <v/>
      </c>
      <c r="M195" s="10">
        <f>IF(COUNT('Per-Trial Conf'!$I121:$K121)&gt;1,STDEV('Per-Trial Conf'!$I121:$K121)/SQRT(COUNT('Per-Trial Conf'!$I121:$K121)),0)</f>
        <v/>
      </c>
    </row>
    <row r="196">
      <c r="A196" s="3" t="inlineStr">
        <is>
          <t>4ZAU</t>
        </is>
      </c>
      <c r="B196" s="3" t="inlineStr">
        <is>
          <t>Osimertinib</t>
        </is>
      </c>
      <c r="C196" s="3" t="inlineStr">
        <is>
          <t>YY3+1b</t>
        </is>
      </c>
      <c r="D196" s="3" t="inlineStr">
        <is>
          <t>N, N1, N3</t>
        </is>
      </c>
      <c r="E196" s="3" t="inlineStr">
        <is>
          <t>YY3+2</t>
        </is>
      </c>
      <c r="F196" s="10">
        <f>'Per-Trial Conf'!$E122</f>
        <v/>
      </c>
      <c r="G196" s="10" t="n">
        <v>3.31</v>
      </c>
      <c r="H196" s="10">
        <f>IF(G196="","",EXP(-G196/$B$3))</f>
        <v/>
      </c>
      <c r="I196" s="10">
        <f>IF(H196="","",H196/SUM(H$195:H$201))</f>
        <v/>
      </c>
      <c r="J196" s="10">
        <f>AVERAGE('Per-Trial Conf'!$F122:$H122)</f>
        <v/>
      </c>
      <c r="K196" s="10">
        <f>IF(COUNT('Per-Trial Conf'!$F122:$H122)&gt;1,STDEV('Per-Trial Conf'!$F122:$H122)/SQRT(COUNT('Per-Trial Conf'!$F122:$H122)),0)</f>
        <v/>
      </c>
      <c r="L196" s="10">
        <f>AVERAGE('Per-Trial Conf'!$I122:$K122)</f>
        <v/>
      </c>
      <c r="M196" s="10">
        <f>IF(COUNT('Per-Trial Conf'!$I122:$K122)&gt;1,STDEV('Per-Trial Conf'!$I122:$K122)/SQRT(COUNT('Per-Trial Conf'!$I122:$K122)),0)</f>
        <v/>
      </c>
    </row>
    <row r="197">
      <c r="A197" s="3" t="inlineStr">
        <is>
          <t>4ZAU</t>
        </is>
      </c>
      <c r="B197" s="3" t="inlineStr">
        <is>
          <t>Osimertinib</t>
        </is>
      </c>
      <c r="C197" s="3" t="inlineStr">
        <is>
          <t>YY3+1c</t>
        </is>
      </c>
      <c r="D197" s="3" t="inlineStr">
        <is>
          <t>N2, N3, O</t>
        </is>
      </c>
      <c r="E197" s="3" t="inlineStr">
        <is>
          <t>YY3+3</t>
        </is>
      </c>
      <c r="F197" s="10">
        <f>'Per-Trial Conf'!$E123</f>
        <v/>
      </c>
      <c r="G197" s="10" t="n">
        <v>3.893</v>
      </c>
      <c r="H197" s="10">
        <f>IF(G197="","",EXP(-G197/$B$3))</f>
        <v/>
      </c>
      <c r="I197" s="10">
        <f>IF(H197="","",H197/SUM(H$195:H$201))</f>
        <v/>
      </c>
      <c r="J197" s="10">
        <f>AVERAGE('Per-Trial Conf'!$F123:$H123)</f>
        <v/>
      </c>
      <c r="K197" s="10">
        <f>IF(COUNT('Per-Trial Conf'!$F123:$H123)&gt;1,STDEV('Per-Trial Conf'!$F123:$H123)/SQRT(COUNT('Per-Trial Conf'!$F123:$H123)),0)</f>
        <v/>
      </c>
      <c r="L197" s="10">
        <f>AVERAGE('Per-Trial Conf'!$I123:$K123)</f>
        <v/>
      </c>
      <c r="M197" s="10">
        <f>IF(COUNT('Per-Trial Conf'!$I123:$K123)&gt;1,STDEV('Per-Trial Conf'!$I123:$K123)/SQRT(COUNT('Per-Trial Conf'!$I123:$K123)),0)</f>
        <v/>
      </c>
    </row>
    <row r="198">
      <c r="A198" s="3" t="inlineStr">
        <is>
          <t>4ZAU</t>
        </is>
      </c>
      <c r="B198" s="3" t="inlineStr">
        <is>
          <t>Osimertinib</t>
        </is>
      </c>
      <c r="C198" s="3" t="inlineStr">
        <is>
          <t>YY3+1d</t>
        </is>
      </c>
      <c r="D198" s="3" t="inlineStr">
        <is>
          <t>N1, N3, O</t>
        </is>
      </c>
      <c r="E198" s="3" t="inlineStr">
        <is>
          <t>YY3+4</t>
        </is>
      </c>
      <c r="F198" s="10">
        <f>'Per-Trial Conf'!$E124</f>
        <v/>
      </c>
      <c r="G198" s="10" t="n">
        <v>4.431</v>
      </c>
      <c r="H198" s="10">
        <f>IF(G198="","",EXP(-G198/$B$3))</f>
        <v/>
      </c>
      <c r="I198" s="10">
        <f>IF(H198="","",H198/SUM(H$195:H$201))</f>
        <v/>
      </c>
      <c r="J198" s="10">
        <f>AVERAGE('Per-Trial Conf'!$F124:$H124)</f>
        <v/>
      </c>
      <c r="K198" s="10">
        <f>IF(COUNT('Per-Trial Conf'!$F124:$H124)&gt;1,STDEV('Per-Trial Conf'!$F124:$H124)/SQRT(COUNT('Per-Trial Conf'!$F124:$H124)),0)</f>
        <v/>
      </c>
      <c r="L198" s="10">
        <f>AVERAGE('Per-Trial Conf'!$I124:$K124)</f>
        <v/>
      </c>
      <c r="M198" s="10">
        <f>IF(COUNT('Per-Trial Conf'!$I124:$K124)&gt;1,STDEV('Per-Trial Conf'!$I124:$K124)/SQRT(COUNT('Per-Trial Conf'!$I124:$K124)),0)</f>
        <v/>
      </c>
    </row>
    <row r="199">
      <c r="A199" s="3" t="inlineStr">
        <is>
          <t>4ZAU</t>
        </is>
      </c>
      <c r="B199" s="3" t="inlineStr">
        <is>
          <t>Osimertinib</t>
        </is>
      </c>
      <c r="C199" s="3" t="inlineStr">
        <is>
          <t>YY3+2a</t>
        </is>
      </c>
      <c r="D199" s="3" t="inlineStr">
        <is>
          <t>N, N2, N3, O</t>
        </is>
      </c>
      <c r="E199" s="3" t="inlineStr">
        <is>
          <t>YY3+a</t>
        </is>
      </c>
      <c r="F199" s="10">
        <f>'Per-Trial Conf'!$E125</f>
        <v/>
      </c>
      <c r="G199" s="10" t="n">
        <v>4.972</v>
      </c>
      <c r="H199" s="10">
        <f>IF(G199="","",EXP(-G199/$B$3))</f>
        <v/>
      </c>
      <c r="I199" s="10">
        <f>IF(H199="","",H199/SUM(H$195:H$201))</f>
        <v/>
      </c>
      <c r="J199" s="10">
        <f>AVERAGE('Per-Trial Conf'!$F125:$H125)</f>
        <v/>
      </c>
      <c r="K199" s="10">
        <f>IF(COUNT('Per-Trial Conf'!$F125:$H125)&gt;1,STDEV('Per-Trial Conf'!$F125:$H125)/SQRT(COUNT('Per-Trial Conf'!$F125:$H125)),0)</f>
        <v/>
      </c>
      <c r="L199" s="10">
        <f>AVERAGE('Per-Trial Conf'!$I125:$K125)</f>
        <v/>
      </c>
      <c r="M199" s="10">
        <f>IF(COUNT('Per-Trial Conf'!$I125:$K125)&gt;1,STDEV('Per-Trial Conf'!$I125:$K125)/SQRT(COUNT('Per-Trial Conf'!$I125:$K125)),0)</f>
        <v/>
      </c>
    </row>
    <row r="200">
      <c r="A200" s="3" t="inlineStr">
        <is>
          <t>4ZAU</t>
        </is>
      </c>
      <c r="B200" s="3" t="inlineStr">
        <is>
          <t>Osimertinib</t>
        </is>
      </c>
      <c r="C200" s="3" t="inlineStr">
        <is>
          <t>YY3+2b</t>
        </is>
      </c>
      <c r="D200" s="3" t="inlineStr">
        <is>
          <t>N, N1, N2, N3</t>
        </is>
      </c>
      <c r="E200" s="3" t="inlineStr">
        <is>
          <t>YY3+b</t>
        </is>
      </c>
      <c r="F200" s="10">
        <f>'Per-Trial Conf'!$E126</f>
        <v/>
      </c>
      <c r="G200" s="10" t="n">
        <v>5.449</v>
      </c>
      <c r="H200" s="10">
        <f>IF(G200="","",EXP(-G200/$B$3))</f>
        <v/>
      </c>
      <c r="I200" s="10">
        <f>IF(H200="","",H200/SUM(H$195:H$201))</f>
        <v/>
      </c>
      <c r="J200" s="10">
        <f>AVERAGE('Per-Trial Conf'!$F126:$H126)</f>
        <v/>
      </c>
      <c r="K200" s="10">
        <f>IF(COUNT('Per-Trial Conf'!$F126:$H126)&gt;1,STDEV('Per-Trial Conf'!$F126:$H126)/SQRT(COUNT('Per-Trial Conf'!$F126:$H126)),0)</f>
        <v/>
      </c>
      <c r="L200" s="10">
        <f>AVERAGE('Per-Trial Conf'!$I126:$K126)</f>
        <v/>
      </c>
      <c r="M200" s="10">
        <f>IF(COUNT('Per-Trial Conf'!$I126:$K126)&gt;1,STDEV('Per-Trial Conf'!$I126:$K126)/SQRT(COUNT('Per-Trial Conf'!$I126:$K126)),0)</f>
        <v/>
      </c>
    </row>
    <row r="201">
      <c r="A201" s="3" t="inlineStr">
        <is>
          <t>4ZAU</t>
        </is>
      </c>
      <c r="B201" s="3" t="inlineStr">
        <is>
          <t>Osimertinib</t>
        </is>
      </c>
      <c r="C201" s="3" t="inlineStr">
        <is>
          <t>YY3 0</t>
        </is>
      </c>
      <c r="D201" s="3" t="inlineStr">
        <is>
          <t>N, N3</t>
        </is>
      </c>
      <c r="E201" s="3" t="inlineStr">
        <is>
          <t>YY301</t>
        </is>
      </c>
      <c r="F201" s="10">
        <f>'Per-Trial Conf'!$E127</f>
        <v/>
      </c>
      <c r="G201" s="10" t="n">
        <v>2.299</v>
      </c>
      <c r="H201" s="10">
        <f>IF(G201="","",EXP(-G201/$B$3))</f>
        <v/>
      </c>
      <c r="I201" s="10">
        <f>IF(H201="","",H201/SUM(H$195:H$201))</f>
        <v/>
      </c>
      <c r="J201" s="10">
        <f>AVERAGE('Per-Trial Conf'!$F127:$H127)</f>
        <v/>
      </c>
      <c r="K201" s="10">
        <f>IF(COUNT('Per-Trial Conf'!$F127:$H127)&gt;1,STDEV('Per-Trial Conf'!$F127:$H127)/SQRT(COUNT('Per-Trial Conf'!$F127:$H127)),0)</f>
        <v/>
      </c>
      <c r="L201" s="10">
        <f>AVERAGE('Per-Trial Conf'!$I127:$K127)</f>
        <v/>
      </c>
      <c r="M201" s="10">
        <f>IF(COUNT('Per-Trial Conf'!$I127:$K127)&gt;1,STDEV('Per-Trial Conf'!$I127:$K127)/SQRT(COUNT('Per-Trial Conf'!$I127:$K127)),0)</f>
        <v/>
      </c>
    </row>
    <row r="202">
      <c r="A202" s="6" t="n"/>
      <c r="B202" s="6" t="n"/>
      <c r="C202" s="6" t="n"/>
      <c r="D202" s="6" t="n"/>
      <c r="E202" s="6" t="inlineStr">
        <is>
          <t>SUM</t>
        </is>
      </c>
      <c r="F202" s="12" t="n"/>
      <c r="G202" s="12" t="n"/>
      <c r="H202" s="12">
        <f>SUM(H195:H201)</f>
        <v/>
      </c>
      <c r="I202" s="12">
        <f>SUM(I195:I201)</f>
        <v/>
      </c>
      <c r="J202" s="12">
        <f>SUM(J195:J201)</f>
        <v/>
      </c>
      <c r="K202" s="12" t="n"/>
      <c r="L202" s="12">
        <f>SUM(L195:L201)</f>
        <v/>
      </c>
      <c r="M202" s="12" t="n"/>
    </row>
    <row r="203">
      <c r="A203" s="6" t="n"/>
      <c r="B203" s="6" t="n"/>
      <c r="C203" s="6" t="n"/>
      <c r="D203" s="6" t="n"/>
      <c r="E203" s="6" t="inlineStr">
        <is>
          <t>ensemble charge</t>
        </is>
      </c>
      <c r="F203" s="12" t="n"/>
      <c r="G203" s="12" t="n"/>
      <c r="H203" s="12" t="n"/>
      <c r="I203" s="12">
        <f>SUMPRODUCT($F195:$F201,I195:I201)</f>
        <v/>
      </c>
      <c r="J203" s="12">
        <f>SUMPRODUCT($F195:$F201,J195:J201)</f>
        <v/>
      </c>
      <c r="K203" s="12" t="n"/>
      <c r="L203" s="12">
        <f>SUMPRODUCT($F195:$F201,L195:L201)</f>
        <v/>
      </c>
      <c r="M203" s="12" t="n"/>
    </row>
    <row r="205">
      <c r="A205" s="7" t="n"/>
      <c r="B205" s="8" t="inlineStr">
        <is>
          <t>JAK3: Janus Kinase 3</t>
        </is>
      </c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</row>
    <row r="206">
      <c r="A206" s="3" t="inlineStr">
        <is>
          <t>3LXK</t>
        </is>
      </c>
      <c r="B206" s="3" t="inlineStr">
        <is>
          <t>Tofacitinib</t>
        </is>
      </c>
      <c r="C206" s="3" t="inlineStr">
        <is>
          <t>MI1+1</t>
        </is>
      </c>
      <c r="D206" s="3" t="inlineStr">
        <is>
          <t>N12, N19</t>
        </is>
      </c>
      <c r="E206" s="3" t="inlineStr">
        <is>
          <t>MI1+1</t>
        </is>
      </c>
      <c r="F206" s="10">
        <f>'Per-Trial Conf'!$E45</f>
        <v/>
      </c>
      <c r="G206" s="10" t="n">
        <v>2.096</v>
      </c>
      <c r="H206" s="10">
        <f>IF(G206="","",EXP(-G206/$B$3))</f>
        <v/>
      </c>
      <c r="I206" s="10">
        <f>IF(H206="","",H206/SUM(H$206:H$207))</f>
        <v/>
      </c>
      <c r="J206" s="10">
        <f>AVERAGE('Per-Trial Conf'!$F45:$H45)</f>
        <v/>
      </c>
      <c r="K206" s="10">
        <f>IF(COUNT('Per-Trial Conf'!$F45:$H45)&gt;1,STDEV('Per-Trial Conf'!$F45:$H45)/SQRT(COUNT('Per-Trial Conf'!$F45:$H45)),0)</f>
        <v/>
      </c>
      <c r="L206" s="10">
        <f>AVERAGE('Per-Trial Conf'!$I45:$K45)</f>
        <v/>
      </c>
      <c r="M206" s="10">
        <f>IF(COUNT('Per-Trial Conf'!$I45:$K45)&gt;1,STDEV('Per-Trial Conf'!$I45:$K45)/SQRT(COUNT('Per-Trial Conf'!$I45:$K45)),0)</f>
        <v/>
      </c>
    </row>
    <row r="207">
      <c r="A207" s="3" t="inlineStr">
        <is>
          <t>3LXK</t>
        </is>
      </c>
      <c r="B207" s="3" t="inlineStr">
        <is>
          <t>Tofacitinib</t>
        </is>
      </c>
      <c r="C207" s="3" t="inlineStr">
        <is>
          <t>MI1 0</t>
        </is>
      </c>
      <c r="D207" s="3" t="inlineStr">
        <is>
          <t>N12</t>
        </is>
      </c>
      <c r="E207" s="3" t="inlineStr">
        <is>
          <t>MI101</t>
        </is>
      </c>
      <c r="F207" s="10">
        <f>'Per-Trial Conf'!$E46</f>
        <v/>
      </c>
      <c r="G207" s="10" t="n">
        <v>0.018</v>
      </c>
      <c r="H207" s="10">
        <f>IF(G207="","",EXP(-G207/$B$3))</f>
        <v/>
      </c>
      <c r="I207" s="10">
        <f>IF(H207="","",H207/SUM(H$206:H$207))</f>
        <v/>
      </c>
      <c r="J207" s="10">
        <f>AVERAGE('Per-Trial Conf'!$F46:$H46)</f>
        <v/>
      </c>
      <c r="K207" s="10">
        <f>IF(COUNT('Per-Trial Conf'!$F46:$H46)&gt;1,STDEV('Per-Trial Conf'!$F46:$H46)/SQRT(COUNT('Per-Trial Conf'!$F46:$H46)),0)</f>
        <v/>
      </c>
      <c r="L207" s="10">
        <f>AVERAGE('Per-Trial Conf'!$I46:$K46)</f>
        <v/>
      </c>
      <c r="M207" s="10">
        <f>IF(COUNT('Per-Trial Conf'!$I46:$K46)&gt;1,STDEV('Per-Trial Conf'!$I46:$K46)/SQRT(COUNT('Per-Trial Conf'!$I46:$K46)),0)</f>
        <v/>
      </c>
    </row>
    <row r="208">
      <c r="A208" s="6" t="n"/>
      <c r="B208" s="6" t="n"/>
      <c r="C208" s="6" t="n"/>
      <c r="D208" s="6" t="n"/>
      <c r="E208" s="6" t="inlineStr">
        <is>
          <t>SUM</t>
        </is>
      </c>
      <c r="F208" s="12" t="n"/>
      <c r="G208" s="12" t="n"/>
      <c r="H208" s="12">
        <f>SUM(H206:H207)</f>
        <v/>
      </c>
      <c r="I208" s="12">
        <f>SUM(I206:I207)</f>
        <v/>
      </c>
      <c r="J208" s="12">
        <f>SUM(J206:J207)</f>
        <v/>
      </c>
      <c r="K208" s="12" t="n"/>
      <c r="L208" s="12">
        <f>SUM(L206:L207)</f>
        <v/>
      </c>
      <c r="M208" s="12" t="n"/>
    </row>
    <row r="209">
      <c r="A209" s="6" t="n"/>
      <c r="B209" s="6" t="n"/>
      <c r="C209" s="6" t="n"/>
      <c r="D209" s="6" t="n"/>
      <c r="E209" s="6" t="inlineStr">
        <is>
          <t>ensemble charge</t>
        </is>
      </c>
      <c r="F209" s="12" t="n"/>
      <c r="G209" s="12" t="n"/>
      <c r="H209" s="12" t="n"/>
      <c r="I209" s="12">
        <f>SUMPRODUCT($F206:$F207,I206:I207)</f>
        <v/>
      </c>
      <c r="J209" s="12">
        <f>SUMPRODUCT($F206:$F207,J206:J207)</f>
        <v/>
      </c>
      <c r="K209" s="12" t="n"/>
      <c r="L209" s="12">
        <f>SUMPRODUCT($F206:$F207,L206:L207)</f>
        <v/>
      </c>
      <c r="M209" s="12" t="n"/>
    </row>
    <row r="211">
      <c r="A211" s="7" t="n"/>
      <c r="B211" s="8" t="inlineStr">
        <is>
          <t>MEK: Mitogen-Activated Protein Kinase</t>
        </is>
      </c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</row>
    <row r="212">
      <c r="A212" s="3" t="inlineStr">
        <is>
          <t>4AN2</t>
        </is>
      </c>
      <c r="B212" s="3" t="inlineStr">
        <is>
          <t>Cobimetinib</t>
        </is>
      </c>
      <c r="C212" s="3" t="inlineStr">
        <is>
          <t>EUI+1</t>
        </is>
      </c>
      <c r="D212" s="3" t="inlineStr">
        <is>
          <t>N26, N9, O24</t>
        </is>
      </c>
      <c r="E212" s="3" t="inlineStr">
        <is>
          <t>EUI+1</t>
        </is>
      </c>
      <c r="F212" s="10">
        <f>'Per-Trial Conf'!$E84</f>
        <v/>
      </c>
      <c r="G212" s="10" t="n">
        <v>0.008</v>
      </c>
      <c r="H212" s="10">
        <f>IF(G212="","",EXP(-G212/$B$3))</f>
        <v/>
      </c>
      <c r="I212" s="10">
        <f>IF(H212="","",H212/SUM(H$212:H$214))</f>
        <v/>
      </c>
      <c r="J212" s="10">
        <f>AVERAGE('Per-Trial Conf'!$F84:$H84)</f>
        <v/>
      </c>
      <c r="K212" s="10">
        <f>IF(COUNT('Per-Trial Conf'!$F84:$H84)&gt;1,STDEV('Per-Trial Conf'!$F84:$H84)/SQRT(COUNT('Per-Trial Conf'!$F84:$H84)),0)</f>
        <v/>
      </c>
      <c r="L212" s="10">
        <f>AVERAGE('Per-Trial Conf'!$I84:$K84)</f>
        <v/>
      </c>
      <c r="M212" s="10">
        <f>IF(COUNT('Per-Trial Conf'!$I84:$K84)&gt;1,STDEV('Per-Trial Conf'!$I84:$K84)/SQRT(COUNT('Per-Trial Conf'!$I84:$K84)),0)</f>
        <v/>
      </c>
    </row>
    <row r="213">
      <c r="A213" s="3" t="inlineStr">
        <is>
          <t>4AN2</t>
        </is>
      </c>
      <c r="B213" s="3" t="inlineStr">
        <is>
          <t>Cobimetinib</t>
        </is>
      </c>
      <c r="C213" s="3" t="inlineStr">
        <is>
          <t>EUI 0a</t>
        </is>
      </c>
      <c r="D213" s="3" t="inlineStr">
        <is>
          <t>N26, N9, O24</t>
        </is>
      </c>
      <c r="E213" s="3" t="inlineStr">
        <is>
          <t>EUI01</t>
        </is>
      </c>
      <c r="F213" s="10">
        <f>'Per-Trial Conf'!$E85</f>
        <v/>
      </c>
      <c r="G213" s="10" t="n">
        <v>2.536</v>
      </c>
      <c r="H213" s="10">
        <f>IF(G213="","",EXP(-G213/$B$3))</f>
        <v/>
      </c>
      <c r="I213" s="10">
        <f>IF(H213="","",H213/SUM(H$212:H$214))</f>
        <v/>
      </c>
      <c r="J213" s="10">
        <f>AVERAGE('Per-Trial Conf'!$F85:$H85)</f>
        <v/>
      </c>
      <c r="K213" s="10">
        <f>IF(COUNT('Per-Trial Conf'!$F85:$H85)&gt;1,STDEV('Per-Trial Conf'!$F85:$H85)/SQRT(COUNT('Per-Trial Conf'!$F85:$H85)),0)</f>
        <v/>
      </c>
      <c r="L213" s="10">
        <f>AVERAGE('Per-Trial Conf'!$I85:$K85)</f>
        <v/>
      </c>
      <c r="M213" s="10">
        <f>IF(COUNT('Per-Trial Conf'!$I85:$K85)&gt;1,STDEV('Per-Trial Conf'!$I85:$K85)/SQRT(COUNT('Per-Trial Conf'!$I85:$K85)),0)</f>
        <v/>
      </c>
    </row>
    <row r="214">
      <c r="A214" s="3" t="inlineStr">
        <is>
          <t>4AN2</t>
        </is>
      </c>
      <c r="B214" s="3" t="inlineStr">
        <is>
          <t>Cobimetinib</t>
        </is>
      </c>
      <c r="C214" s="3" t="inlineStr">
        <is>
          <t>EUI 0b</t>
        </is>
      </c>
      <c r="D214" s="3" t="inlineStr">
        <is>
          <t>N26, N9, O24</t>
        </is>
      </c>
      <c r="E214" s="3" t="inlineStr">
        <is>
          <t>EUI02</t>
        </is>
      </c>
      <c r="F214" s="10">
        <f>'Per-Trial Conf'!$E86</f>
        <v/>
      </c>
      <c r="G214" s="10" t="n">
        <v>5.637</v>
      </c>
      <c r="H214" s="10">
        <f>IF(G214="","",EXP(-G214/$B$3))</f>
        <v/>
      </c>
      <c r="I214" s="10">
        <f>IF(H214="","",H214/SUM(H$212:H$214))</f>
        <v/>
      </c>
      <c r="J214" s="10">
        <f>AVERAGE('Per-Trial Conf'!$F86:$H86)</f>
        <v/>
      </c>
      <c r="K214" s="10">
        <f>IF(COUNT('Per-Trial Conf'!$F86:$H86)&gt;1,STDEV('Per-Trial Conf'!$F86:$H86)/SQRT(COUNT('Per-Trial Conf'!$F86:$H86)),0)</f>
        <v/>
      </c>
      <c r="L214" s="10">
        <f>AVERAGE('Per-Trial Conf'!$I86:$K86)</f>
        <v/>
      </c>
      <c r="M214" s="10">
        <f>IF(COUNT('Per-Trial Conf'!$I86:$K86)&gt;1,STDEV('Per-Trial Conf'!$I86:$K86)/SQRT(COUNT('Per-Trial Conf'!$I86:$K86)),0)</f>
        <v/>
      </c>
    </row>
    <row r="215">
      <c r="A215" s="6" t="n"/>
      <c r="B215" s="6" t="n"/>
      <c r="C215" s="6" t="n"/>
      <c r="D215" s="6" t="n"/>
      <c r="E215" s="6" t="inlineStr">
        <is>
          <t>SUM</t>
        </is>
      </c>
      <c r="F215" s="12" t="n"/>
      <c r="G215" s="12" t="n"/>
      <c r="H215" s="12">
        <f>SUM(H212:H214)</f>
        <v/>
      </c>
      <c r="I215" s="12">
        <f>SUM(I212:I214)</f>
        <v/>
      </c>
      <c r="J215" s="12">
        <f>SUM(J212:J214)</f>
        <v/>
      </c>
      <c r="K215" s="12" t="n"/>
      <c r="L215" s="12">
        <f>SUM(L212:L214)</f>
        <v/>
      </c>
      <c r="M215" s="12" t="n"/>
    </row>
    <row r="216">
      <c r="A216" s="6" t="n"/>
      <c r="B216" s="6" t="n"/>
      <c r="C216" s="6" t="n"/>
      <c r="D216" s="6" t="n"/>
      <c r="E216" s="6" t="inlineStr">
        <is>
          <t>ensemble charge</t>
        </is>
      </c>
      <c r="F216" s="12" t="n"/>
      <c r="G216" s="12" t="n"/>
      <c r="H216" s="12" t="n"/>
      <c r="I216" s="12">
        <f>SUMPRODUCT($F212:$F214,I212:I214)</f>
        <v/>
      </c>
      <c r="J216" s="12">
        <f>SUMPRODUCT($F212:$F214,J212:J214)</f>
        <v/>
      </c>
      <c r="K216" s="12" t="n"/>
      <c r="L216" s="12">
        <f>SUMPRODUCT($F212:$F214,L212:L214)</f>
        <v/>
      </c>
      <c r="M216" s="12" t="n"/>
    </row>
    <row r="218">
      <c r="A218" s="3" t="inlineStr">
        <is>
          <t>4LMN</t>
        </is>
      </c>
      <c r="B218" s="3" t="inlineStr">
        <is>
          <t>Cobimetinib</t>
        </is>
      </c>
      <c r="C218" s="3" t="inlineStr">
        <is>
          <t>EUI+1</t>
        </is>
      </c>
      <c r="D218" s="3" t="inlineStr">
        <is>
          <t>N26, N9, O24</t>
        </is>
      </c>
      <c r="E218" s="3" t="inlineStr">
        <is>
          <t>EUI+1</t>
        </is>
      </c>
      <c r="F218" s="10">
        <f>'Per-Trial Conf'!$E110</f>
        <v/>
      </c>
      <c r="G218" s="10" t="n">
        <v>0.008</v>
      </c>
      <c r="H218" s="10">
        <f>IF(G218="","",EXP(-G218/$B$3))</f>
        <v/>
      </c>
      <c r="I218" s="10">
        <f>IF(H218="","",H218/SUM(H$218:H$220))</f>
        <v/>
      </c>
      <c r="J218" s="10">
        <f>AVERAGE('Per-Trial Conf'!$F110:$H110)</f>
        <v/>
      </c>
      <c r="K218" s="10">
        <f>IF(COUNT('Per-Trial Conf'!$F110:$H110)&gt;1,STDEV('Per-Trial Conf'!$F110:$H110)/SQRT(COUNT('Per-Trial Conf'!$F110:$H110)),0)</f>
        <v/>
      </c>
      <c r="L218" s="10">
        <f>AVERAGE('Per-Trial Conf'!$I110:$K110)</f>
        <v/>
      </c>
      <c r="M218" s="10">
        <f>IF(COUNT('Per-Trial Conf'!$I110:$K110)&gt;1,STDEV('Per-Trial Conf'!$I110:$K110)/SQRT(COUNT('Per-Trial Conf'!$I110:$K110)),0)</f>
        <v/>
      </c>
    </row>
    <row r="219">
      <c r="A219" s="3" t="inlineStr">
        <is>
          <t>4LMN</t>
        </is>
      </c>
      <c r="B219" s="3" t="inlineStr">
        <is>
          <t>Cobimetinib</t>
        </is>
      </c>
      <c r="C219" s="3" t="inlineStr">
        <is>
          <t>EUI 0a</t>
        </is>
      </c>
      <c r="D219" s="3" t="inlineStr">
        <is>
          <t>N26, N9, O24</t>
        </is>
      </c>
      <c r="E219" s="3" t="inlineStr">
        <is>
          <t>EUI01</t>
        </is>
      </c>
      <c r="F219" s="10">
        <f>'Per-Trial Conf'!$E111</f>
        <v/>
      </c>
      <c r="G219" s="10" t="n">
        <v>2.536</v>
      </c>
      <c r="H219" s="10">
        <f>IF(G219="","",EXP(-G219/$B$3))</f>
        <v/>
      </c>
      <c r="I219" s="10">
        <f>IF(H219="","",H219/SUM(H$218:H$220))</f>
        <v/>
      </c>
      <c r="J219" s="10">
        <f>AVERAGE('Per-Trial Conf'!$F111:$H111)</f>
        <v/>
      </c>
      <c r="K219" s="10">
        <f>IF(COUNT('Per-Trial Conf'!$F111:$H111)&gt;1,STDEV('Per-Trial Conf'!$F111:$H111)/SQRT(COUNT('Per-Trial Conf'!$F111:$H111)),0)</f>
        <v/>
      </c>
      <c r="L219" s="10">
        <f>AVERAGE('Per-Trial Conf'!$I111:$K111)</f>
        <v/>
      </c>
      <c r="M219" s="10">
        <f>IF(COUNT('Per-Trial Conf'!$I111:$K111)&gt;1,STDEV('Per-Trial Conf'!$I111:$K111)/SQRT(COUNT('Per-Trial Conf'!$I111:$K111)),0)</f>
        <v/>
      </c>
    </row>
    <row r="220">
      <c r="A220" s="3" t="inlineStr">
        <is>
          <t>4LMN</t>
        </is>
      </c>
      <c r="B220" s="3" t="inlineStr">
        <is>
          <t>Cobimetinib</t>
        </is>
      </c>
      <c r="C220" s="3" t="inlineStr">
        <is>
          <t>EUI 0b</t>
        </is>
      </c>
      <c r="D220" s="3" t="inlineStr">
        <is>
          <t>N26, N9, O24</t>
        </is>
      </c>
      <c r="E220" s="3" t="inlineStr">
        <is>
          <t>EUI02</t>
        </is>
      </c>
      <c r="F220" s="10">
        <f>'Per-Trial Conf'!$E112</f>
        <v/>
      </c>
      <c r="G220" s="10" t="n">
        <v>5.637</v>
      </c>
      <c r="H220" s="10">
        <f>IF(G220="","",EXP(-G220/$B$3))</f>
        <v/>
      </c>
      <c r="I220" s="10">
        <f>IF(H220="","",H220/SUM(H$218:H$220))</f>
        <v/>
      </c>
      <c r="J220" s="10">
        <f>AVERAGE('Per-Trial Conf'!$F112:$H112)</f>
        <v/>
      </c>
      <c r="K220" s="10">
        <f>IF(COUNT('Per-Trial Conf'!$F112:$H112)&gt;1,STDEV('Per-Trial Conf'!$F112:$H112)/SQRT(COUNT('Per-Trial Conf'!$F112:$H112)),0)</f>
        <v/>
      </c>
      <c r="L220" s="10">
        <f>AVERAGE('Per-Trial Conf'!$I112:$K112)</f>
        <v/>
      </c>
      <c r="M220" s="10">
        <f>IF(COUNT('Per-Trial Conf'!$I112:$K112)&gt;1,STDEV('Per-Trial Conf'!$I112:$K112)/SQRT(COUNT('Per-Trial Conf'!$I112:$K112)),0)</f>
        <v/>
      </c>
    </row>
    <row r="221">
      <c r="A221" s="6" t="n"/>
      <c r="B221" s="6" t="n"/>
      <c r="C221" s="6" t="n"/>
      <c r="D221" s="6" t="n"/>
      <c r="E221" s="6" t="inlineStr">
        <is>
          <t>SUM</t>
        </is>
      </c>
      <c r="F221" s="12" t="n"/>
      <c r="G221" s="12" t="n"/>
      <c r="H221" s="12">
        <f>SUM(H218:H220)</f>
        <v/>
      </c>
      <c r="I221" s="12">
        <f>SUM(I218:I220)</f>
        <v/>
      </c>
      <c r="J221" s="12">
        <f>SUM(J218:J220)</f>
        <v/>
      </c>
      <c r="K221" s="12" t="n"/>
      <c r="L221" s="12">
        <f>SUM(L218:L220)</f>
        <v/>
      </c>
      <c r="M221" s="12" t="n"/>
    </row>
    <row r="222">
      <c r="A222" s="6" t="n"/>
      <c r="B222" s="6" t="n"/>
      <c r="C222" s="6" t="n"/>
      <c r="D222" s="6" t="n"/>
      <c r="E222" s="6" t="inlineStr">
        <is>
          <t>ensemble charge</t>
        </is>
      </c>
      <c r="F222" s="12" t="n"/>
      <c r="G222" s="12" t="n"/>
      <c r="H222" s="12" t="n"/>
      <c r="I222" s="12">
        <f>SUMPRODUCT($F218:$F220,I218:I220)</f>
        <v/>
      </c>
      <c r="J222" s="12">
        <f>SUMPRODUCT($F218:$F220,J218:J220)</f>
        <v/>
      </c>
      <c r="K222" s="12" t="n"/>
      <c r="L222" s="12">
        <f>SUMPRODUCT($F218:$F220,L218:L220)</f>
        <v/>
      </c>
      <c r="M222" s="12" t="n"/>
    </row>
    <row r="224">
      <c r="A224" s="7" t="n"/>
      <c r="B224" s="8" t="inlineStr">
        <is>
          <t>MET: Tyrosine Protein Kinase</t>
        </is>
      </c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</row>
    <row r="225">
      <c r="A225" s="3" t="inlineStr">
        <is>
          <t>2WGJ</t>
        </is>
      </c>
      <c r="B225" s="3" t="inlineStr">
        <is>
          <t>Crizotinib</t>
        </is>
      </c>
      <c r="C225" s="3" t="inlineStr">
        <is>
          <t>VGH+1a</t>
        </is>
      </c>
      <c r="D225" s="3" t="inlineStr">
        <is>
          <t>N22, N25</t>
        </is>
      </c>
      <c r="E225" s="3" t="inlineStr">
        <is>
          <t>VGH+1</t>
        </is>
      </c>
      <c r="F225" s="10">
        <f>'Per-Trial Conf'!$E28</f>
        <v/>
      </c>
      <c r="G225" s="10" t="n">
        <v>0.585</v>
      </c>
      <c r="H225" s="10">
        <f>IF(G225="","",EXP(-G225/$B$3))</f>
        <v/>
      </c>
      <c r="I225" s="10">
        <f>IF(H225="","",H225/SUM(H$225:H$228))</f>
        <v/>
      </c>
      <c r="J225" s="10">
        <f>AVERAGE('Per-Trial Conf'!$F28:$H28)</f>
        <v/>
      </c>
      <c r="K225" s="10">
        <f>IF(COUNT('Per-Trial Conf'!$F28:$H28)&gt;1,STDEV('Per-Trial Conf'!$F28:$H28)/SQRT(COUNT('Per-Trial Conf'!$F28:$H28)),0)</f>
        <v/>
      </c>
      <c r="L225" s="10">
        <f>AVERAGE('Per-Trial Conf'!$I28:$K28)</f>
        <v/>
      </c>
      <c r="M225" s="10">
        <f>IF(COUNT('Per-Trial Conf'!$I28:$K28)&gt;1,STDEV('Per-Trial Conf'!$I28:$K28)/SQRT(COUNT('Per-Trial Conf'!$I28:$K28)),0)</f>
        <v/>
      </c>
    </row>
    <row r="226">
      <c r="A226" s="3" t="inlineStr">
        <is>
          <t>2WGJ</t>
        </is>
      </c>
      <c r="B226" s="3" t="inlineStr">
        <is>
          <t>Crizotinib</t>
        </is>
      </c>
      <c r="C226" s="3" t="inlineStr">
        <is>
          <t>VGH+1b</t>
        </is>
      </c>
      <c r="D226" s="3" t="inlineStr">
        <is>
          <t>N22, N23, N25</t>
        </is>
      </c>
      <c r="E226" s="3" t="inlineStr">
        <is>
          <t>VGH+2</t>
        </is>
      </c>
      <c r="F226" s="10">
        <f>'Per-Trial Conf'!$E29</f>
        <v/>
      </c>
      <c r="G226" s="10" t="n">
        <v>3.587</v>
      </c>
      <c r="H226" s="10">
        <f>IF(G226="","",EXP(-G226/$B$3))</f>
        <v/>
      </c>
      <c r="I226" s="10">
        <f>IF(H226="","",H226/SUM(H$225:H$228))</f>
        <v/>
      </c>
      <c r="J226" s="10">
        <f>AVERAGE('Per-Trial Conf'!$F29:$H29)</f>
        <v/>
      </c>
      <c r="K226" s="10">
        <f>IF(COUNT('Per-Trial Conf'!$F29:$H29)&gt;1,STDEV('Per-Trial Conf'!$F29:$H29)/SQRT(COUNT('Per-Trial Conf'!$F29:$H29)),0)</f>
        <v/>
      </c>
      <c r="L226" s="10">
        <f>AVERAGE('Per-Trial Conf'!$I29:$K29)</f>
        <v/>
      </c>
      <c r="M226" s="10">
        <f>IF(COUNT('Per-Trial Conf'!$I29:$K29)&gt;1,STDEV('Per-Trial Conf'!$I29:$K29)/SQRT(COUNT('Per-Trial Conf'!$I29:$K29)),0)</f>
        <v/>
      </c>
    </row>
    <row r="227">
      <c r="A227" s="3" t="inlineStr">
        <is>
          <t>2WGJ</t>
        </is>
      </c>
      <c r="B227" s="3" t="inlineStr">
        <is>
          <t>Crizotinib</t>
        </is>
      </c>
      <c r="C227" s="3" t="inlineStr">
        <is>
          <t>VGH+2</t>
        </is>
      </c>
      <c r="D227" s="3" t="inlineStr">
        <is>
          <t>N22, N23, N25</t>
        </is>
      </c>
      <c r="E227" s="3" t="inlineStr">
        <is>
          <t>VGH+a</t>
        </is>
      </c>
      <c r="F227" s="10">
        <f>'Per-Trial Conf'!$E30</f>
        <v/>
      </c>
      <c r="G227" s="10" t="n">
        <v>0.283</v>
      </c>
      <c r="H227" s="10">
        <f>IF(G227="","",EXP(-G227/$B$3))</f>
        <v/>
      </c>
      <c r="I227" s="10">
        <f>IF(H227="","",H227/SUM(H$225:H$228))</f>
        <v/>
      </c>
      <c r="J227" s="10">
        <f>AVERAGE('Per-Trial Conf'!$F30:$H30)</f>
        <v/>
      </c>
      <c r="K227" s="10">
        <f>IF(COUNT('Per-Trial Conf'!$F30:$H30)&gt;1,STDEV('Per-Trial Conf'!$F30:$H30)/SQRT(COUNT('Per-Trial Conf'!$F30:$H30)),0)</f>
        <v/>
      </c>
      <c r="L227" s="10">
        <f>AVERAGE('Per-Trial Conf'!$I30:$K30)</f>
        <v/>
      </c>
      <c r="M227" s="10">
        <f>IF(COUNT('Per-Trial Conf'!$I30:$K30)&gt;1,STDEV('Per-Trial Conf'!$I30:$K30)/SQRT(COUNT('Per-Trial Conf'!$I30:$K30)),0)</f>
        <v/>
      </c>
    </row>
    <row r="228">
      <c r="A228" s="3" t="inlineStr">
        <is>
          <t>2WGJ</t>
        </is>
      </c>
      <c r="B228" s="3" t="inlineStr">
        <is>
          <t>Crizotinib</t>
        </is>
      </c>
      <c r="C228" s="3" t="inlineStr">
        <is>
          <t>VGH 0</t>
        </is>
      </c>
      <c r="D228" s="3" t="inlineStr">
        <is>
          <t>N22, N25</t>
        </is>
      </c>
      <c r="E228" s="3" t="inlineStr">
        <is>
          <t>VGH01</t>
        </is>
      </c>
      <c r="F228" s="10">
        <f>'Per-Trial Conf'!$E31</f>
        <v/>
      </c>
      <c r="G228" s="10" t="n">
        <v>3.192</v>
      </c>
      <c r="H228" s="10">
        <f>IF(G228="","",EXP(-G228/$B$3))</f>
        <v/>
      </c>
      <c r="I228" s="10">
        <f>IF(H228="","",H228/SUM(H$225:H$228))</f>
        <v/>
      </c>
      <c r="J228" s="10">
        <f>AVERAGE('Per-Trial Conf'!$F31:$H31)</f>
        <v/>
      </c>
      <c r="K228" s="10">
        <f>IF(COUNT('Per-Trial Conf'!$F31:$H31)&gt;1,STDEV('Per-Trial Conf'!$F31:$H31)/SQRT(COUNT('Per-Trial Conf'!$F31:$H31)),0)</f>
        <v/>
      </c>
      <c r="L228" s="10">
        <f>AVERAGE('Per-Trial Conf'!$I31:$K31)</f>
        <v/>
      </c>
      <c r="M228" s="10">
        <f>IF(COUNT('Per-Trial Conf'!$I31:$K31)&gt;1,STDEV('Per-Trial Conf'!$I31:$K31)/SQRT(COUNT('Per-Trial Conf'!$I31:$K31)),0)</f>
        <v/>
      </c>
    </row>
    <row r="229">
      <c r="A229" s="6" t="n"/>
      <c r="B229" s="6" t="n"/>
      <c r="C229" s="6" t="n"/>
      <c r="D229" s="6" t="n"/>
      <c r="E229" s="6" t="inlineStr">
        <is>
          <t>SUM</t>
        </is>
      </c>
      <c r="F229" s="12" t="n"/>
      <c r="G229" s="12" t="n"/>
      <c r="H229" s="12">
        <f>SUM(H225:H228)</f>
        <v/>
      </c>
      <c r="I229" s="12">
        <f>SUM(I225:I228)</f>
        <v/>
      </c>
      <c r="J229" s="12">
        <f>SUM(J225:J228)</f>
        <v/>
      </c>
      <c r="K229" s="12" t="n"/>
      <c r="L229" s="12">
        <f>SUM(L225:L228)</f>
        <v/>
      </c>
      <c r="M229" s="12" t="n"/>
    </row>
    <row r="230">
      <c r="A230" s="6" t="n"/>
      <c r="B230" s="6" t="n"/>
      <c r="C230" s="6" t="n"/>
      <c r="D230" s="6" t="n"/>
      <c r="E230" s="6" t="inlineStr">
        <is>
          <t>ensemble charge</t>
        </is>
      </c>
      <c r="F230" s="12" t="n"/>
      <c r="G230" s="12" t="n"/>
      <c r="H230" s="12" t="n"/>
      <c r="I230" s="12">
        <f>SUMPRODUCT($F225:$F228,I225:I228)</f>
        <v/>
      </c>
      <c r="J230" s="12">
        <f>SUMPRODUCT($F225:$F228,J225:J228)</f>
        <v/>
      </c>
      <c r="K230" s="12" t="n"/>
      <c r="L230" s="12">
        <f>SUMPRODUCT($F225:$F228,L225:L228)</f>
        <v/>
      </c>
      <c r="M230" s="12" t="n"/>
    </row>
    <row r="232">
      <c r="A232" s="7" t="n"/>
      <c r="B232" s="8" t="inlineStr">
        <is>
          <t>VEGFR: Vascular Endothelial Growth Factor Receptor Kinase</t>
        </is>
      </c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</row>
    <row r="233">
      <c r="A233" s="3" t="inlineStr">
        <is>
          <t>4AG8</t>
        </is>
      </c>
      <c r="B233" s="3" t="inlineStr">
        <is>
          <t>Axitinib</t>
        </is>
      </c>
      <c r="C233" s="3" t="inlineStr">
        <is>
          <t>AXI+1</t>
        </is>
      </c>
      <c r="D233" s="3" t="inlineStr">
        <is>
          <t>N03, N15, N82</t>
        </is>
      </c>
      <c r="E233" s="3" t="inlineStr">
        <is>
          <t>AXI+1</t>
        </is>
      </c>
      <c r="F233" s="10">
        <f>'Per-Trial Conf'!$E74</f>
        <v/>
      </c>
      <c r="G233" s="10" t="n">
        <v>3.79</v>
      </c>
      <c r="H233" s="10">
        <f>IF(G233="","",EXP(-G233/$B$3))</f>
        <v/>
      </c>
      <c r="I233" s="10">
        <f>IF(H233="","",H233/SUM(H$233:H$235))</f>
        <v/>
      </c>
      <c r="J233" s="10">
        <f>AVERAGE('Per-Trial Conf'!$F74:$H74)</f>
        <v/>
      </c>
      <c r="K233" s="10">
        <f>IF(COUNT('Per-Trial Conf'!$F74:$H74)&gt;1,STDEV('Per-Trial Conf'!$F74:$H74)/SQRT(COUNT('Per-Trial Conf'!$F74:$H74)),0)</f>
        <v/>
      </c>
      <c r="L233" s="10">
        <f>AVERAGE('Per-Trial Conf'!$I74:$K74)</f>
        <v/>
      </c>
      <c r="M233" s="10">
        <f>IF(COUNT('Per-Trial Conf'!$I74:$K74)&gt;1,STDEV('Per-Trial Conf'!$I74:$K74)/SQRT(COUNT('Per-Trial Conf'!$I74:$K74)),0)</f>
        <v/>
      </c>
    </row>
    <row r="234">
      <c r="A234" s="3" t="inlineStr">
        <is>
          <t>4AG8</t>
        </is>
      </c>
      <c r="B234" s="3" t="inlineStr">
        <is>
          <t>Axitinib</t>
        </is>
      </c>
      <c r="C234" s="3" t="inlineStr">
        <is>
          <t>AXI 0a</t>
        </is>
      </c>
      <c r="D234" s="3" t="inlineStr">
        <is>
          <t>N15, N82</t>
        </is>
      </c>
      <c r="E234" s="3" t="inlineStr">
        <is>
          <t>AXI01</t>
        </is>
      </c>
      <c r="F234" s="10">
        <f>'Per-Trial Conf'!$E75</f>
        <v/>
      </c>
      <c r="G234" s="10" t="n">
        <v>0.124</v>
      </c>
      <c r="H234" s="10">
        <f>IF(G234="","",EXP(-G234/$B$3))</f>
        <v/>
      </c>
      <c r="I234" s="10">
        <f>IF(H234="","",H234/SUM(H$233:H$235))</f>
        <v/>
      </c>
      <c r="J234" s="10">
        <f>AVERAGE('Per-Trial Conf'!$F75:$H75)</f>
        <v/>
      </c>
      <c r="K234" s="10">
        <f>IF(COUNT('Per-Trial Conf'!$F75:$H75)&gt;1,STDEV('Per-Trial Conf'!$F75:$H75)/SQRT(COUNT('Per-Trial Conf'!$F75:$H75)),0)</f>
        <v/>
      </c>
      <c r="L234" s="10">
        <f>AVERAGE('Per-Trial Conf'!$I75:$K75)</f>
        <v/>
      </c>
      <c r="M234" s="10">
        <f>IF(COUNT('Per-Trial Conf'!$I75:$K75)&gt;1,STDEV('Per-Trial Conf'!$I75:$K75)/SQRT(COUNT('Per-Trial Conf'!$I75:$K75)),0)</f>
        <v/>
      </c>
    </row>
    <row r="235">
      <c r="A235" s="3" t="inlineStr">
        <is>
          <t>4AG8</t>
        </is>
      </c>
      <c r="B235" s="3" t="inlineStr">
        <is>
          <t>Axitinib</t>
        </is>
      </c>
      <c r="C235" s="3" t="inlineStr">
        <is>
          <t>AXI 0b</t>
        </is>
      </c>
      <c r="D235" s="3" t="inlineStr">
        <is>
          <t>N14, N82</t>
        </is>
      </c>
      <c r="E235" s="3" t="inlineStr">
        <is>
          <t>AXI02</t>
        </is>
      </c>
      <c r="F235" s="10">
        <f>'Per-Trial Conf'!$E76</f>
        <v/>
      </c>
      <c r="G235" s="10" t="n">
        <v>0.993</v>
      </c>
      <c r="H235" s="10">
        <f>IF(G235="","",EXP(-G235/$B$3))</f>
        <v/>
      </c>
      <c r="I235" s="10">
        <f>IF(H235="","",H235/SUM(H$233:H$235))</f>
        <v/>
      </c>
      <c r="J235" s="10">
        <f>AVERAGE('Per-Trial Conf'!$F76:$H76)</f>
        <v/>
      </c>
      <c r="K235" s="10">
        <f>IF(COUNT('Per-Trial Conf'!$F76:$H76)&gt;1,STDEV('Per-Trial Conf'!$F76:$H76)/SQRT(COUNT('Per-Trial Conf'!$F76:$H76)),0)</f>
        <v/>
      </c>
      <c r="L235" s="10">
        <f>AVERAGE('Per-Trial Conf'!$I76:$K76)</f>
        <v/>
      </c>
      <c r="M235" s="10">
        <f>IF(COUNT('Per-Trial Conf'!$I76:$K76)&gt;1,STDEV('Per-Trial Conf'!$I76:$K76)/SQRT(COUNT('Per-Trial Conf'!$I76:$K76)),0)</f>
        <v/>
      </c>
    </row>
    <row r="236">
      <c r="A236" s="6" t="n"/>
      <c r="B236" s="6" t="n"/>
      <c r="C236" s="6" t="n"/>
      <c r="D236" s="6" t="n"/>
      <c r="E236" s="6" t="inlineStr">
        <is>
          <t>SUM</t>
        </is>
      </c>
      <c r="F236" s="12" t="n"/>
      <c r="G236" s="12" t="n"/>
      <c r="H236" s="12">
        <f>SUM(H233:H235)</f>
        <v/>
      </c>
      <c r="I236" s="12">
        <f>SUM(I233:I235)</f>
        <v/>
      </c>
      <c r="J236" s="12">
        <f>SUM(J233:J235)</f>
        <v/>
      </c>
      <c r="K236" s="12" t="n"/>
      <c r="L236" s="12">
        <f>SUM(L233:L235)</f>
        <v/>
      </c>
      <c r="M236" s="12" t="n"/>
    </row>
    <row r="237">
      <c r="A237" s="6" t="n"/>
      <c r="B237" s="6" t="n"/>
      <c r="C237" s="6" t="n"/>
      <c r="D237" s="6" t="n"/>
      <c r="E237" s="6" t="inlineStr">
        <is>
          <t>ensemble charge</t>
        </is>
      </c>
      <c r="F237" s="12" t="n"/>
      <c r="G237" s="12" t="n"/>
      <c r="H237" s="12" t="n"/>
      <c r="I237" s="12">
        <f>SUMPRODUCT($F233:$F235,I233:I235)</f>
        <v/>
      </c>
      <c r="J237" s="12">
        <f>SUMPRODUCT($F233:$F235,J233:J235)</f>
        <v/>
      </c>
      <c r="K237" s="12" t="n"/>
      <c r="L237" s="12">
        <f>SUMPRODUCT($F233:$F235,L233:L235)</f>
        <v/>
      </c>
      <c r="M237" s="12" t="n"/>
    </row>
    <row r="239">
      <c r="A239" s="3" t="inlineStr">
        <is>
          <t>4AGC</t>
        </is>
      </c>
      <c r="B239" s="3" t="inlineStr">
        <is>
          <t>Axitinib</t>
        </is>
      </c>
      <c r="C239" s="3" t="inlineStr">
        <is>
          <t>AXI+1</t>
        </is>
      </c>
      <c r="D239" s="3" t="inlineStr">
        <is>
          <t>N03, N15, N82</t>
        </is>
      </c>
      <c r="E239" s="3" t="inlineStr">
        <is>
          <t>AXI+1</t>
        </is>
      </c>
      <c r="F239" s="10">
        <f>'Per-Trial Conf'!$E77</f>
        <v/>
      </c>
      <c r="G239" s="10" t="n">
        <v>3.79</v>
      </c>
      <c r="H239" s="10">
        <f>IF(G239="","",EXP(-G239/$B$3))</f>
        <v/>
      </c>
      <c r="I239" s="10">
        <f>IF(H239="","",H239/SUM(H$239:H$241))</f>
        <v/>
      </c>
      <c r="J239" s="10">
        <f>AVERAGE('Per-Trial Conf'!$F77:$H77)</f>
        <v/>
      </c>
      <c r="K239" s="10">
        <f>IF(COUNT('Per-Trial Conf'!$F77:$H77)&gt;1,STDEV('Per-Trial Conf'!$F77:$H77)/SQRT(COUNT('Per-Trial Conf'!$F77:$H77)),0)</f>
        <v/>
      </c>
      <c r="L239" s="10">
        <f>AVERAGE('Per-Trial Conf'!$I77:$K77)</f>
        <v/>
      </c>
      <c r="M239" s="10">
        <f>IF(COUNT('Per-Trial Conf'!$I77:$K77)&gt;1,STDEV('Per-Trial Conf'!$I77:$K77)/SQRT(COUNT('Per-Trial Conf'!$I77:$K77)),0)</f>
        <v/>
      </c>
    </row>
    <row r="240">
      <c r="A240" s="3" t="inlineStr">
        <is>
          <t>4AGC</t>
        </is>
      </c>
      <c r="B240" s="3" t="inlineStr">
        <is>
          <t>Axitinib</t>
        </is>
      </c>
      <c r="C240" s="3" t="inlineStr">
        <is>
          <t>AXI 0a</t>
        </is>
      </c>
      <c r="D240" s="3" t="inlineStr">
        <is>
          <t>N15, N82</t>
        </is>
      </c>
      <c r="E240" s="3" t="inlineStr">
        <is>
          <t>AXI01</t>
        </is>
      </c>
      <c r="F240" s="10">
        <f>'Per-Trial Conf'!$E78</f>
        <v/>
      </c>
      <c r="G240" s="10" t="n">
        <v>0.124</v>
      </c>
      <c r="H240" s="10">
        <f>IF(G240="","",EXP(-G240/$B$3))</f>
        <v/>
      </c>
      <c r="I240" s="10">
        <f>IF(H240="","",H240/SUM(H$239:H$241))</f>
        <v/>
      </c>
      <c r="J240" s="10">
        <f>AVERAGE('Per-Trial Conf'!$F78:$H78)</f>
        <v/>
      </c>
      <c r="K240" s="10">
        <f>IF(COUNT('Per-Trial Conf'!$F78:$H78)&gt;1,STDEV('Per-Trial Conf'!$F78:$H78)/SQRT(COUNT('Per-Trial Conf'!$F78:$H78)),0)</f>
        <v/>
      </c>
      <c r="L240" s="10">
        <f>AVERAGE('Per-Trial Conf'!$I78:$K78)</f>
        <v/>
      </c>
      <c r="M240" s="10">
        <f>IF(COUNT('Per-Trial Conf'!$I78:$K78)&gt;1,STDEV('Per-Trial Conf'!$I78:$K78)/SQRT(COUNT('Per-Trial Conf'!$I78:$K78)),0)</f>
        <v/>
      </c>
    </row>
    <row r="241">
      <c r="A241" s="3" t="inlineStr">
        <is>
          <t>4AGC</t>
        </is>
      </c>
      <c r="B241" s="3" t="inlineStr">
        <is>
          <t>Axitinib</t>
        </is>
      </c>
      <c r="C241" s="3" t="inlineStr">
        <is>
          <t>AXI 0b</t>
        </is>
      </c>
      <c r="D241" s="3" t="inlineStr">
        <is>
          <t>N14, N82</t>
        </is>
      </c>
      <c r="E241" s="3" t="inlineStr">
        <is>
          <t>AXI02</t>
        </is>
      </c>
      <c r="F241" s="10">
        <f>'Per-Trial Conf'!$E79</f>
        <v/>
      </c>
      <c r="G241" s="10" t="n">
        <v>0.993</v>
      </c>
      <c r="H241" s="10">
        <f>IF(G241="","",EXP(-G241/$B$3))</f>
        <v/>
      </c>
      <c r="I241" s="10">
        <f>IF(H241="","",H241/SUM(H$239:H$241))</f>
        <v/>
      </c>
      <c r="J241" s="10">
        <f>AVERAGE('Per-Trial Conf'!$F79:$H79)</f>
        <v/>
      </c>
      <c r="K241" s="10">
        <f>IF(COUNT('Per-Trial Conf'!$F79:$H79)&gt;1,STDEV('Per-Trial Conf'!$F79:$H79)/SQRT(COUNT('Per-Trial Conf'!$F79:$H79)),0)</f>
        <v/>
      </c>
      <c r="L241" s="10">
        <f>AVERAGE('Per-Trial Conf'!$I79:$K79)</f>
        <v/>
      </c>
      <c r="M241" s="10">
        <f>IF(COUNT('Per-Trial Conf'!$I79:$K79)&gt;1,STDEV('Per-Trial Conf'!$I79:$K79)/SQRT(COUNT('Per-Trial Conf'!$I79:$K79)),0)</f>
        <v/>
      </c>
    </row>
    <row r="242">
      <c r="A242" s="6" t="n"/>
      <c r="B242" s="6" t="n"/>
      <c r="C242" s="6" t="n"/>
      <c r="D242" s="6" t="n"/>
      <c r="E242" s="6" t="inlineStr">
        <is>
          <t>SUM</t>
        </is>
      </c>
      <c r="F242" s="12" t="n"/>
      <c r="G242" s="12" t="n"/>
      <c r="H242" s="12">
        <f>SUM(H239:H241)</f>
        <v/>
      </c>
      <c r="I242" s="12">
        <f>SUM(I239:I241)</f>
        <v/>
      </c>
      <c r="J242" s="12">
        <f>SUM(J239:J241)</f>
        <v/>
      </c>
      <c r="K242" s="12" t="n"/>
      <c r="L242" s="12">
        <f>SUM(L239:L241)</f>
        <v/>
      </c>
      <c r="M242" s="12" t="n"/>
    </row>
    <row r="243">
      <c r="A243" s="6" t="n"/>
      <c r="B243" s="6" t="n"/>
      <c r="C243" s="6" t="n"/>
      <c r="D243" s="6" t="n"/>
      <c r="E243" s="6" t="inlineStr">
        <is>
          <t>ensemble charge</t>
        </is>
      </c>
      <c r="F243" s="12" t="n"/>
      <c r="G243" s="12" t="n"/>
      <c r="H243" s="12" t="n"/>
      <c r="I243" s="12">
        <f>SUMPRODUCT($F239:$F241,I239:I241)</f>
        <v/>
      </c>
      <c r="J243" s="12">
        <f>SUMPRODUCT($F239:$F241,J239:J241)</f>
        <v/>
      </c>
      <c r="K243" s="12" t="n"/>
      <c r="L243" s="12">
        <f>SUMPRODUCT($F239:$F241,L239:L241)</f>
        <v/>
      </c>
      <c r="M243" s="12" t="n"/>
    </row>
    <row r="245">
      <c r="A245" s="3" t="inlineStr">
        <is>
          <t>3WZD</t>
        </is>
      </c>
      <c r="B245" s="3" t="inlineStr">
        <is>
          <t>Lenvatinib</t>
        </is>
      </c>
      <c r="C245" s="3" t="inlineStr">
        <is>
          <t>LEV-1a</t>
        </is>
      </c>
      <c r="D245" s="3" t="inlineStr">
        <is>
          <t>N15, N23, N26</t>
        </is>
      </c>
      <c r="E245" s="3" t="inlineStr">
        <is>
          <t>LEV-1</t>
        </is>
      </c>
      <c r="F245" s="10">
        <f>'Per-Trial Conf'!$E61</f>
        <v/>
      </c>
      <c r="G245" s="10" t="n">
        <v>5.763</v>
      </c>
      <c r="H245" s="10">
        <f>IF(G245="","",EXP(-G245/$B$3))</f>
        <v/>
      </c>
      <c r="I245" s="10">
        <f>IF(H245="","",H245/SUM(H$245:H$247))</f>
        <v/>
      </c>
      <c r="J245" s="10">
        <f>AVERAGE('Per-Trial Conf'!$F61:$H61)</f>
        <v/>
      </c>
      <c r="K245" s="10">
        <f>IF(COUNT('Per-Trial Conf'!$F61:$H61)&gt;1,STDEV('Per-Trial Conf'!$F61:$H61)/SQRT(COUNT('Per-Trial Conf'!$F61:$H61)),0)</f>
        <v/>
      </c>
      <c r="L245" s="10">
        <f>AVERAGE('Per-Trial Conf'!$I61:$K61)</f>
        <v/>
      </c>
      <c r="M245" s="10">
        <f>IF(COUNT('Per-Trial Conf'!$I61:$K61)&gt;1,STDEV('Per-Trial Conf'!$I61:$K61)/SQRT(COUNT('Per-Trial Conf'!$I61:$K61)),0)</f>
        <v/>
      </c>
    </row>
    <row r="246">
      <c r="A246" s="3" t="inlineStr">
        <is>
          <t>3WZD</t>
        </is>
      </c>
      <c r="B246" s="3" t="inlineStr">
        <is>
          <t>Lenvatinib</t>
        </is>
      </c>
      <c r="C246" s="3" t="inlineStr">
        <is>
          <t>LEV-1b</t>
        </is>
      </c>
      <c r="D246" s="3" t="inlineStr">
        <is>
          <t>N15, N23, N26</t>
        </is>
      </c>
      <c r="E246" s="3" t="inlineStr">
        <is>
          <t>LEV-2</t>
        </is>
      </c>
      <c r="F246" s="10">
        <f>'Per-Trial Conf'!$E62</f>
        <v/>
      </c>
      <c r="G246" s="10" t="n">
        <v>5.763</v>
      </c>
      <c r="H246" s="10">
        <f>IF(G246="","",EXP(-G246/$B$3))</f>
        <v/>
      </c>
      <c r="I246" s="10">
        <f>IF(H246="","",H246/SUM(H$245:H$247))</f>
        <v/>
      </c>
      <c r="J246" s="10">
        <f>AVERAGE('Per-Trial Conf'!$F62:$H62)</f>
        <v/>
      </c>
      <c r="K246" s="10">
        <f>IF(COUNT('Per-Trial Conf'!$F62:$H62)&gt;1,STDEV('Per-Trial Conf'!$F62:$H62)/SQRT(COUNT('Per-Trial Conf'!$F62:$H62)),0)</f>
        <v/>
      </c>
      <c r="L246" s="10">
        <f>AVERAGE('Per-Trial Conf'!$I62:$K62)</f>
        <v/>
      </c>
      <c r="M246" s="10">
        <f>IF(COUNT('Per-Trial Conf'!$I62:$K62)&gt;1,STDEV('Per-Trial Conf'!$I62:$K62)/SQRT(COUNT('Per-Trial Conf'!$I62:$K62)),0)</f>
        <v/>
      </c>
    </row>
    <row r="247">
      <c r="A247" s="3" t="inlineStr">
        <is>
          <t>3WZD</t>
        </is>
      </c>
      <c r="B247" s="3" t="inlineStr">
        <is>
          <t>Lenvatinib</t>
        </is>
      </c>
      <c r="C247" s="3" t="inlineStr">
        <is>
          <t>LEV 0</t>
        </is>
      </c>
      <c r="D247" s="3" t="inlineStr">
        <is>
          <t>N15, N23, N26</t>
        </is>
      </c>
      <c r="E247" s="3" t="inlineStr">
        <is>
          <t>LEV01</t>
        </is>
      </c>
      <c r="F247" s="10">
        <f>'Per-Trial Conf'!$E63</f>
        <v/>
      </c>
      <c r="G247" s="10" t="n">
        <v>0</v>
      </c>
      <c r="H247" s="10">
        <f>IF(G247="","",EXP(-G247/$B$3))</f>
        <v/>
      </c>
      <c r="I247" s="10">
        <f>IF(H247="","",H247/SUM(H$245:H$247))</f>
        <v/>
      </c>
      <c r="J247" s="10">
        <f>AVERAGE('Per-Trial Conf'!$F63:$H63)</f>
        <v/>
      </c>
      <c r="K247" s="10">
        <f>IF(COUNT('Per-Trial Conf'!$F63:$H63)&gt;1,STDEV('Per-Trial Conf'!$F63:$H63)/SQRT(COUNT('Per-Trial Conf'!$F63:$H63)),0)</f>
        <v/>
      </c>
      <c r="L247" s="10">
        <f>AVERAGE('Per-Trial Conf'!$I63:$K63)</f>
        <v/>
      </c>
      <c r="M247" s="10">
        <f>IF(COUNT('Per-Trial Conf'!$I63:$K63)&gt;1,STDEV('Per-Trial Conf'!$I63:$K63)/SQRT(COUNT('Per-Trial Conf'!$I63:$K63)),0)</f>
        <v/>
      </c>
    </row>
    <row r="248">
      <c r="A248" s="6" t="n"/>
      <c r="B248" s="6" t="n"/>
      <c r="C248" s="6" t="n"/>
      <c r="D248" s="6" t="n"/>
      <c r="E248" s="6" t="inlineStr">
        <is>
          <t>SUM</t>
        </is>
      </c>
      <c r="F248" s="12" t="n"/>
      <c r="G248" s="12" t="n"/>
      <c r="H248" s="12">
        <f>SUM(H245:H247)</f>
        <v/>
      </c>
      <c r="I248" s="12">
        <f>SUM(I245:I247)</f>
        <v/>
      </c>
      <c r="J248" s="12">
        <f>SUM(J245:J247)</f>
        <v/>
      </c>
      <c r="K248" s="12" t="n"/>
      <c r="L248" s="12">
        <f>SUM(L245:L247)</f>
        <v/>
      </c>
      <c r="M248" s="12" t="n"/>
    </row>
    <row r="249">
      <c r="A249" s="6" t="n"/>
      <c r="B249" s="6" t="n"/>
      <c r="C249" s="6" t="n"/>
      <c r="D249" s="6" t="n"/>
      <c r="E249" s="6" t="inlineStr">
        <is>
          <t>ensemble charge</t>
        </is>
      </c>
      <c r="F249" s="12" t="n"/>
      <c r="G249" s="12" t="n"/>
      <c r="H249" s="12" t="n"/>
      <c r="I249" s="12">
        <f>SUMPRODUCT($F245:$F247,I245:I247)</f>
        <v/>
      </c>
      <c r="J249" s="12">
        <f>SUMPRODUCT($F245:$F247,J245:J247)</f>
        <v/>
      </c>
      <c r="K249" s="12" t="n"/>
      <c r="L249" s="12">
        <f>SUMPRODUCT($F245:$F247,L245:L247)</f>
        <v/>
      </c>
      <c r="M249" s="12" t="n"/>
    </row>
    <row r="251">
      <c r="A251" s="3" t="inlineStr">
        <is>
          <t>3WZE</t>
        </is>
      </c>
      <c r="B251" s="3" t="inlineStr">
        <is>
          <t>Sorafenib</t>
        </is>
      </c>
      <c r="C251" s="3" t="inlineStr">
        <is>
          <t>BAX+1</t>
        </is>
      </c>
      <c r="D251" s="3" t="inlineStr">
        <is>
          <t>N12, N14, N26, N30</t>
        </is>
      </c>
      <c r="E251" s="3" t="inlineStr">
        <is>
          <t>BAX+1</t>
        </is>
      </c>
      <c r="F251" s="10">
        <f>'Per-Trial Conf'!$E64</f>
        <v/>
      </c>
      <c r="G251" s="10" t="n">
        <v>3.207</v>
      </c>
      <c r="H251" s="10">
        <f>IF(G251="","",EXP(-G251/$B$3))</f>
        <v/>
      </c>
      <c r="I251" s="10">
        <f>IF(H251="","",H251/SUM(H$251:H$254))</f>
        <v/>
      </c>
      <c r="J251" s="10">
        <f>AVERAGE('Per-Trial Conf'!$F64:$H64)</f>
        <v/>
      </c>
      <c r="K251" s="10">
        <f>IF(COUNT('Per-Trial Conf'!$F64:$H64)&gt;1,STDEV('Per-Trial Conf'!$F64:$H64)/SQRT(COUNT('Per-Trial Conf'!$F64:$H64)),0)</f>
        <v/>
      </c>
      <c r="L251" s="10">
        <f>AVERAGE('Per-Trial Conf'!$I64:$K64)</f>
        <v/>
      </c>
      <c r="M251" s="10">
        <f>IF(COUNT('Per-Trial Conf'!$I64:$K64)&gt;1,STDEV('Per-Trial Conf'!$I64:$K64)/SQRT(COUNT('Per-Trial Conf'!$I64:$K64)),0)</f>
        <v/>
      </c>
    </row>
    <row r="252">
      <c r="A252" s="3" t="inlineStr">
        <is>
          <t>3WZE</t>
        </is>
      </c>
      <c r="B252" s="3" t="inlineStr">
        <is>
          <t>Sorafenib</t>
        </is>
      </c>
      <c r="C252" s="3" t="inlineStr">
        <is>
          <t>BAX-1</t>
        </is>
      </c>
      <c r="D252" s="3" t="inlineStr">
        <is>
          <t>N12, N14</t>
        </is>
      </c>
      <c r="E252" s="3" t="inlineStr">
        <is>
          <t>BAX-1</t>
        </is>
      </c>
      <c r="F252" s="10">
        <f>'Per-Trial Conf'!$E65</f>
        <v/>
      </c>
      <c r="G252" s="10" t="n">
        <v>5.84</v>
      </c>
      <c r="H252" s="10">
        <f>IF(G252="","",EXP(-G252/$B$3))</f>
        <v/>
      </c>
      <c r="I252" s="10">
        <f>IF(H252="","",H252/SUM(H$251:H$254))</f>
        <v/>
      </c>
      <c r="J252" s="10">
        <f>AVERAGE('Per-Trial Conf'!$F65:$H65)</f>
        <v/>
      </c>
      <c r="K252" s="10">
        <f>IF(COUNT('Per-Trial Conf'!$F65:$H65)&gt;1,STDEV('Per-Trial Conf'!$F65:$H65)/SQRT(COUNT('Per-Trial Conf'!$F65:$H65)),0)</f>
        <v/>
      </c>
      <c r="L252" s="10">
        <f>AVERAGE('Per-Trial Conf'!$I65:$K65)</f>
        <v/>
      </c>
      <c r="M252" s="10">
        <f>IF(COUNT('Per-Trial Conf'!$I65:$K65)&gt;1,STDEV('Per-Trial Conf'!$I65:$K65)/SQRT(COUNT('Per-Trial Conf'!$I65:$K65)),0)</f>
        <v/>
      </c>
    </row>
    <row r="253">
      <c r="A253" s="3" t="inlineStr">
        <is>
          <t>3WZE</t>
        </is>
      </c>
      <c r="B253" s="3" t="inlineStr">
        <is>
          <t>Sorafenib</t>
        </is>
      </c>
      <c r="C253" s="3" t="inlineStr">
        <is>
          <t>BAX 0a</t>
        </is>
      </c>
      <c r="D253" s="3" t="inlineStr">
        <is>
          <t>N12, N14, N30</t>
        </is>
      </c>
      <c r="E253" s="3" t="inlineStr">
        <is>
          <t>BAX01</t>
        </is>
      </c>
      <c r="F253" s="10">
        <f>'Per-Trial Conf'!$E66</f>
        <v/>
      </c>
      <c r="G253" s="10" t="n">
        <v>0.004</v>
      </c>
      <c r="H253" s="10">
        <f>IF(G253="","",EXP(-G253/$B$3))</f>
        <v/>
      </c>
      <c r="I253" s="10">
        <f>IF(H253="","",H253/SUM(H$251:H$254))</f>
        <v/>
      </c>
      <c r="J253" s="10">
        <f>AVERAGE('Per-Trial Conf'!$F66:$H66)</f>
        <v/>
      </c>
      <c r="K253" s="10">
        <f>IF(COUNT('Per-Trial Conf'!$F66:$H66)&gt;1,STDEV('Per-Trial Conf'!$F66:$H66)/SQRT(COUNT('Per-Trial Conf'!$F66:$H66)),0)</f>
        <v/>
      </c>
      <c r="L253" s="10">
        <f>AVERAGE('Per-Trial Conf'!$I66:$K66)</f>
        <v/>
      </c>
      <c r="M253" s="10">
        <f>IF(COUNT('Per-Trial Conf'!$I66:$K66)&gt;1,STDEV('Per-Trial Conf'!$I66:$K66)/SQRT(COUNT('Per-Trial Conf'!$I66:$K66)),0)</f>
        <v/>
      </c>
    </row>
    <row r="254">
      <c r="A254" s="3" t="inlineStr">
        <is>
          <t>3WZE</t>
        </is>
      </c>
      <c r="B254" s="3" t="inlineStr">
        <is>
          <t>Sorafenib</t>
        </is>
      </c>
      <c r="C254" s="3" t="inlineStr">
        <is>
          <t>BAX 0b</t>
        </is>
      </c>
      <c r="D254" s="3" t="inlineStr">
        <is>
          <t>N12, N14, N26</t>
        </is>
      </c>
      <c r="E254" s="3" t="inlineStr">
        <is>
          <t>BAX02</t>
        </is>
      </c>
      <c r="F254" s="10">
        <f>'Per-Trial Conf'!$E67</f>
        <v/>
      </c>
      <c r="G254" s="10" t="n">
        <v>3.62</v>
      </c>
      <c r="H254" s="10">
        <f>IF(G254="","",EXP(-G254/$B$3))</f>
        <v/>
      </c>
      <c r="I254" s="10">
        <f>IF(H254="","",H254/SUM(H$251:H$254))</f>
        <v/>
      </c>
      <c r="J254" s="10">
        <f>AVERAGE('Per-Trial Conf'!$F67:$H67)</f>
        <v/>
      </c>
      <c r="K254" s="10">
        <f>IF(COUNT('Per-Trial Conf'!$F67:$H67)&gt;1,STDEV('Per-Trial Conf'!$F67:$H67)/SQRT(COUNT('Per-Trial Conf'!$F67:$H67)),0)</f>
        <v/>
      </c>
      <c r="L254" s="10">
        <f>AVERAGE('Per-Trial Conf'!$I67:$K67)</f>
        <v/>
      </c>
      <c r="M254" s="10">
        <f>IF(COUNT('Per-Trial Conf'!$I67:$K67)&gt;1,STDEV('Per-Trial Conf'!$I67:$K67)/SQRT(COUNT('Per-Trial Conf'!$I67:$K67)),0)</f>
        <v/>
      </c>
    </row>
    <row r="255">
      <c r="A255" s="6" t="n"/>
      <c r="B255" s="6" t="n"/>
      <c r="C255" s="6" t="n"/>
      <c r="D255" s="6" t="n"/>
      <c r="E255" s="6" t="inlineStr">
        <is>
          <t>SUM</t>
        </is>
      </c>
      <c r="F255" s="12" t="n"/>
      <c r="G255" s="12" t="n"/>
      <c r="H255" s="12">
        <f>SUM(H251:H254)</f>
        <v/>
      </c>
      <c r="I255" s="12">
        <f>SUM(I251:I254)</f>
        <v/>
      </c>
      <c r="J255" s="12">
        <f>SUM(J251:J254)</f>
        <v/>
      </c>
      <c r="K255" s="12" t="n"/>
      <c r="L255" s="12">
        <f>SUM(L251:L254)</f>
        <v/>
      </c>
      <c r="M255" s="12" t="n"/>
    </row>
    <row r="256">
      <c r="A256" s="6" t="n"/>
      <c r="B256" s="6" t="n"/>
      <c r="C256" s="6" t="n"/>
      <c r="D256" s="6" t="n"/>
      <c r="E256" s="6" t="inlineStr">
        <is>
          <t>ensemble charge</t>
        </is>
      </c>
      <c r="F256" s="12" t="n"/>
      <c r="G256" s="12" t="n"/>
      <c r="H256" s="12" t="n"/>
      <c r="I256" s="12">
        <f>SUMPRODUCT($F251:$F254,I251:I254)</f>
        <v/>
      </c>
      <c r="J256" s="12">
        <f>SUMPRODUCT($F251:$F254,J251:J254)</f>
        <v/>
      </c>
      <c r="K256" s="12" t="n"/>
      <c r="L256" s="12">
        <f>SUMPRODUCT($F251:$F254,L251:L254)</f>
        <v/>
      </c>
      <c r="M256" s="12" t="n"/>
    </row>
    <row r="258">
      <c r="A258" s="3" t="inlineStr">
        <is>
          <t>4ASD</t>
        </is>
      </c>
      <c r="B258" s="3" t="inlineStr">
        <is>
          <t>Sorafenib</t>
        </is>
      </c>
      <c r="C258" s="3" t="inlineStr">
        <is>
          <t>BAX+1</t>
        </is>
      </c>
      <c r="D258" s="3" t="inlineStr">
        <is>
          <t>N12, N14, N26, N30</t>
        </is>
      </c>
      <c r="E258" s="3" t="inlineStr">
        <is>
          <t>BAX+1</t>
        </is>
      </c>
      <c r="F258" s="10">
        <f>'Per-Trial Conf'!$E95</f>
        <v/>
      </c>
      <c r="G258" s="10" t="n">
        <v>3.207</v>
      </c>
      <c r="H258" s="10">
        <f>IF(G258="","",EXP(-G258/$B$3))</f>
        <v/>
      </c>
      <c r="I258" s="10">
        <f>IF(H258="","",H258/SUM(H$258:H$261))</f>
        <v/>
      </c>
      <c r="J258" s="10">
        <f>AVERAGE('Per-Trial Conf'!$F95:$H95)</f>
        <v/>
      </c>
      <c r="K258" s="10">
        <f>IF(COUNT('Per-Trial Conf'!$F95:$H95)&gt;1,STDEV('Per-Trial Conf'!$F95:$H95)/SQRT(COUNT('Per-Trial Conf'!$F95:$H95)),0)</f>
        <v/>
      </c>
      <c r="L258" s="10">
        <f>AVERAGE('Per-Trial Conf'!$I95:$K95)</f>
        <v/>
      </c>
      <c r="M258" s="10">
        <f>IF(COUNT('Per-Trial Conf'!$I95:$K95)&gt;1,STDEV('Per-Trial Conf'!$I95:$K95)/SQRT(COUNT('Per-Trial Conf'!$I95:$K95)),0)</f>
        <v/>
      </c>
    </row>
    <row r="259">
      <c r="A259" s="3" t="inlineStr">
        <is>
          <t>4ASD</t>
        </is>
      </c>
      <c r="B259" s="3" t="inlineStr">
        <is>
          <t>Sorafenib</t>
        </is>
      </c>
      <c r="C259" s="3" t="inlineStr">
        <is>
          <t>BAX-1</t>
        </is>
      </c>
      <c r="D259" s="3" t="inlineStr">
        <is>
          <t>N12, N14</t>
        </is>
      </c>
      <c r="E259" s="3" t="inlineStr">
        <is>
          <t>BAX-1</t>
        </is>
      </c>
      <c r="F259" s="10">
        <f>'Per-Trial Conf'!$E96</f>
        <v/>
      </c>
      <c r="G259" s="10" t="n">
        <v>5.84</v>
      </c>
      <c r="H259" s="10">
        <f>IF(G259="","",EXP(-G259/$B$3))</f>
        <v/>
      </c>
      <c r="I259" s="10">
        <f>IF(H259="","",H259/SUM(H$258:H$261))</f>
        <v/>
      </c>
      <c r="J259" s="10">
        <f>AVERAGE('Per-Trial Conf'!$F96:$H96)</f>
        <v/>
      </c>
      <c r="K259" s="10">
        <f>IF(COUNT('Per-Trial Conf'!$F96:$H96)&gt;1,STDEV('Per-Trial Conf'!$F96:$H96)/SQRT(COUNT('Per-Trial Conf'!$F96:$H96)),0)</f>
        <v/>
      </c>
      <c r="L259" s="10">
        <f>AVERAGE('Per-Trial Conf'!$I96:$K96)</f>
        <v/>
      </c>
      <c r="M259" s="10">
        <f>IF(COUNT('Per-Trial Conf'!$I96:$K96)&gt;1,STDEV('Per-Trial Conf'!$I96:$K96)/SQRT(COUNT('Per-Trial Conf'!$I96:$K96)),0)</f>
        <v/>
      </c>
    </row>
    <row r="260">
      <c r="A260" s="3" t="inlineStr">
        <is>
          <t>4ASD</t>
        </is>
      </c>
      <c r="B260" s="3" t="inlineStr">
        <is>
          <t>Sorafenib</t>
        </is>
      </c>
      <c r="C260" s="3" t="inlineStr">
        <is>
          <t>BAX 0a</t>
        </is>
      </c>
      <c r="D260" s="3" t="inlineStr">
        <is>
          <t>N12, N14, N30</t>
        </is>
      </c>
      <c r="E260" s="3" t="inlineStr">
        <is>
          <t>BAX01</t>
        </is>
      </c>
      <c r="F260" s="10">
        <f>'Per-Trial Conf'!$E97</f>
        <v/>
      </c>
      <c r="G260" s="10" t="n">
        <v>0.004</v>
      </c>
      <c r="H260" s="10">
        <f>IF(G260="","",EXP(-G260/$B$3))</f>
        <v/>
      </c>
      <c r="I260" s="10">
        <f>IF(H260="","",H260/SUM(H$258:H$261))</f>
        <v/>
      </c>
      <c r="J260" s="10">
        <f>AVERAGE('Per-Trial Conf'!$F97:$H97)</f>
        <v/>
      </c>
      <c r="K260" s="10">
        <f>IF(COUNT('Per-Trial Conf'!$F97:$H97)&gt;1,STDEV('Per-Trial Conf'!$F97:$H97)/SQRT(COUNT('Per-Trial Conf'!$F97:$H97)),0)</f>
        <v/>
      </c>
      <c r="L260" s="10">
        <f>AVERAGE('Per-Trial Conf'!$I97:$K97)</f>
        <v/>
      </c>
      <c r="M260" s="10">
        <f>IF(COUNT('Per-Trial Conf'!$I97:$K97)&gt;1,STDEV('Per-Trial Conf'!$I97:$K97)/SQRT(COUNT('Per-Trial Conf'!$I97:$K97)),0)</f>
        <v/>
      </c>
    </row>
    <row r="261">
      <c r="A261" s="3" t="inlineStr">
        <is>
          <t>4ASD</t>
        </is>
      </c>
      <c r="B261" s="3" t="inlineStr">
        <is>
          <t>Sorafenib</t>
        </is>
      </c>
      <c r="C261" s="3" t="inlineStr">
        <is>
          <t>BAX 0b</t>
        </is>
      </c>
      <c r="D261" s="3" t="inlineStr">
        <is>
          <t>N12, N14, N26</t>
        </is>
      </c>
      <c r="E261" s="3" t="inlineStr">
        <is>
          <t>BAX02</t>
        </is>
      </c>
      <c r="F261" s="10">
        <f>'Per-Trial Conf'!$E98</f>
        <v/>
      </c>
      <c r="G261" s="10" t="n">
        <v>3.62</v>
      </c>
      <c r="H261" s="10">
        <f>IF(G261="","",EXP(-G261/$B$3))</f>
        <v/>
      </c>
      <c r="I261" s="10">
        <f>IF(H261="","",H261/SUM(H$258:H$261))</f>
        <v/>
      </c>
      <c r="J261" s="10">
        <f>AVERAGE('Per-Trial Conf'!$F98:$H98)</f>
        <v/>
      </c>
      <c r="K261" s="10">
        <f>IF(COUNT('Per-Trial Conf'!$F98:$H98)&gt;1,STDEV('Per-Trial Conf'!$F98:$H98)/SQRT(COUNT('Per-Trial Conf'!$F98:$H98)),0)</f>
        <v/>
      </c>
      <c r="L261" s="10">
        <f>AVERAGE('Per-Trial Conf'!$I98:$K98)</f>
        <v/>
      </c>
      <c r="M261" s="10">
        <f>IF(COUNT('Per-Trial Conf'!$I98:$K98)&gt;1,STDEV('Per-Trial Conf'!$I98:$K98)/SQRT(COUNT('Per-Trial Conf'!$I98:$K98)),0)</f>
        <v/>
      </c>
    </row>
    <row r="262">
      <c r="A262" s="6" t="n"/>
      <c r="B262" s="6" t="n"/>
      <c r="C262" s="6" t="n"/>
      <c r="D262" s="6" t="n"/>
      <c r="E262" s="6" t="inlineStr">
        <is>
          <t>SUM</t>
        </is>
      </c>
      <c r="F262" s="12" t="n"/>
      <c r="G262" s="12" t="n"/>
      <c r="H262" s="12">
        <f>SUM(H258:H261)</f>
        <v/>
      </c>
      <c r="I262" s="12">
        <f>SUM(I258:I261)</f>
        <v/>
      </c>
      <c r="J262" s="12">
        <f>SUM(J258:J261)</f>
        <v/>
      </c>
      <c r="K262" s="12" t="n"/>
      <c r="L262" s="12">
        <f>SUM(L258:L261)</f>
        <v/>
      </c>
      <c r="M262" s="12" t="n"/>
    </row>
    <row r="263">
      <c r="A263" s="6" t="n"/>
      <c r="B263" s="6" t="n"/>
      <c r="C263" s="6" t="n"/>
      <c r="D263" s="6" t="n"/>
      <c r="E263" s="6" t="inlineStr">
        <is>
          <t>ensemble charge</t>
        </is>
      </c>
      <c r="F263" s="12" t="n"/>
      <c r="G263" s="12" t="n"/>
      <c r="H263" s="12" t="n"/>
      <c r="I263" s="12">
        <f>SUMPRODUCT($F258:$F261,I258:I261)</f>
        <v/>
      </c>
      <c r="J263" s="12">
        <f>SUMPRODUCT($F258:$F261,J258:J261)</f>
        <v/>
      </c>
      <c r="K263" s="12" t="n"/>
      <c r="L263" s="12">
        <f>SUMPRODUCT($F258:$F261,L258:L261)</f>
        <v/>
      </c>
      <c r="M263" s="12" t="n"/>
    </row>
    <row r="265">
      <c r="A265" s="3" t="inlineStr">
        <is>
          <t>4AGD</t>
        </is>
      </c>
      <c r="B265" s="3" t="inlineStr">
        <is>
          <t>Sunitinib</t>
        </is>
      </c>
      <c r="C265" s="3" t="inlineStr">
        <is>
          <t>B49+1</t>
        </is>
      </c>
      <c r="D265" s="3" t="inlineStr">
        <is>
          <t>N23, N24, N25, N4</t>
        </is>
      </c>
      <c r="E265" s="3" t="inlineStr">
        <is>
          <t>B49+1</t>
        </is>
      </c>
      <c r="F265" s="10">
        <f>'Per-Trial Conf'!$E80</f>
        <v/>
      </c>
      <c r="G265" s="10" t="n">
        <v>0.008</v>
      </c>
      <c r="H265" s="10">
        <f>IF(G265="","",EXP(-G265/$B$3))</f>
        <v/>
      </c>
      <c r="I265" s="10">
        <f>IF(H265="","",H265/SUM(H$265:H$268))</f>
        <v/>
      </c>
      <c r="J265" s="10">
        <f>AVERAGE('Per-Trial Conf'!$F80:$H80)</f>
        <v/>
      </c>
      <c r="K265" s="10">
        <f>IF(COUNT('Per-Trial Conf'!$F80:$H80)&gt;1,STDEV('Per-Trial Conf'!$F80:$H80)/SQRT(COUNT('Per-Trial Conf'!$F80:$H80)),0)</f>
        <v/>
      </c>
      <c r="L265" s="10">
        <f>AVERAGE('Per-Trial Conf'!$I80:$K80)</f>
        <v/>
      </c>
      <c r="M265" s="10">
        <f>IF(COUNT('Per-Trial Conf'!$I80:$K80)&gt;1,STDEV('Per-Trial Conf'!$I80:$K80)/SQRT(COUNT('Per-Trial Conf'!$I80:$K80)),0)</f>
        <v/>
      </c>
    </row>
    <row r="266">
      <c r="A266" s="3" t="inlineStr">
        <is>
          <t>4AGD</t>
        </is>
      </c>
      <c r="B266" s="3" t="inlineStr">
        <is>
          <t>Sunitinib</t>
        </is>
      </c>
      <c r="C266" s="3" t="inlineStr">
        <is>
          <t>B49 0a</t>
        </is>
      </c>
      <c r="D266" s="3" t="inlineStr">
        <is>
          <t>N23, N24, N25</t>
        </is>
      </c>
      <c r="E266" s="3" t="inlineStr">
        <is>
          <t>B4901</t>
        </is>
      </c>
      <c r="F266" s="10">
        <f>'Per-Trial Conf'!$E81</f>
        <v/>
      </c>
      <c r="G266" s="10" t="n">
        <v>2.573</v>
      </c>
      <c r="H266" s="10">
        <f>IF(G266="","",EXP(-G266/$B$3))</f>
        <v/>
      </c>
      <c r="I266" s="10">
        <f>IF(H266="","",H266/SUM(H$265:H$268))</f>
        <v/>
      </c>
      <c r="J266" s="10">
        <f>AVERAGE('Per-Trial Conf'!$F81:$H81)</f>
        <v/>
      </c>
      <c r="K266" s="10">
        <f>IF(COUNT('Per-Trial Conf'!$F81:$H81)&gt;1,STDEV('Per-Trial Conf'!$F81:$H81)/SQRT(COUNT('Per-Trial Conf'!$F81:$H81)),0)</f>
        <v/>
      </c>
      <c r="L266" s="10">
        <f>AVERAGE('Per-Trial Conf'!$I81:$K81)</f>
        <v/>
      </c>
      <c r="M266" s="10">
        <f>IF(COUNT('Per-Trial Conf'!$I81:$K81)&gt;1,STDEV('Per-Trial Conf'!$I81:$K81)/SQRT(COUNT('Per-Trial Conf'!$I81:$K81)),0)</f>
        <v/>
      </c>
    </row>
    <row r="267">
      <c r="A267" s="3" t="inlineStr">
        <is>
          <t>4AGD</t>
        </is>
      </c>
      <c r="B267" s="3" t="inlineStr">
        <is>
          <t>Sunitinib</t>
        </is>
      </c>
      <c r="C267" s="3" t="inlineStr">
        <is>
          <t>B49 0b</t>
        </is>
      </c>
      <c r="D267" s="3" t="inlineStr">
        <is>
          <t>N23, N24, N4</t>
        </is>
      </c>
      <c r="E267" s="3" t="inlineStr">
        <is>
          <t>B4902</t>
        </is>
      </c>
      <c r="F267" s="10">
        <f>'Per-Trial Conf'!$E82</f>
        <v/>
      </c>
      <c r="G267" s="10" t="n">
        <v>5.676</v>
      </c>
      <c r="H267" s="10">
        <f>IF(G267="","",EXP(-G267/$B$3))</f>
        <v/>
      </c>
      <c r="I267" s="10">
        <f>IF(H267="","",H267/SUM(H$265:H$268))</f>
        <v/>
      </c>
      <c r="J267" s="10">
        <f>AVERAGE('Per-Trial Conf'!$F82:$H82)</f>
        <v/>
      </c>
      <c r="K267" s="10">
        <f>IF(COUNT('Per-Trial Conf'!$F82:$H82)&gt;1,STDEV('Per-Trial Conf'!$F82:$H82)/SQRT(COUNT('Per-Trial Conf'!$F82:$H82)),0)</f>
        <v/>
      </c>
      <c r="L267" s="10">
        <f>AVERAGE('Per-Trial Conf'!$I82:$K82)</f>
        <v/>
      </c>
      <c r="M267" s="10">
        <f>IF(COUNT('Per-Trial Conf'!$I82:$K82)&gt;1,STDEV('Per-Trial Conf'!$I82:$K82)/SQRT(COUNT('Per-Trial Conf'!$I82:$K82)),0)</f>
        <v/>
      </c>
    </row>
    <row r="268">
      <c r="A268" s="3" t="inlineStr">
        <is>
          <t>4AGD</t>
        </is>
      </c>
      <c r="B268" s="3" t="inlineStr">
        <is>
          <t>Sunitinib</t>
        </is>
      </c>
      <c r="C268" s="3" t="inlineStr">
        <is>
          <t>B49 0c</t>
        </is>
      </c>
      <c r="D268" s="3" t="inlineStr">
        <is>
          <t>N23, N25, N4</t>
        </is>
      </c>
      <c r="E268" s="3" t="inlineStr">
        <is>
          <t>B4903</t>
        </is>
      </c>
      <c r="F268" s="10">
        <f>'Per-Trial Conf'!$E83</f>
        <v/>
      </c>
      <c r="G268" s="10" t="n">
        <v>5.692</v>
      </c>
      <c r="H268" s="10">
        <f>IF(G268="","",EXP(-G268/$B$3))</f>
        <v/>
      </c>
      <c r="I268" s="10">
        <f>IF(H268="","",H268/SUM(H$265:H$268))</f>
        <v/>
      </c>
      <c r="J268" s="10">
        <f>AVERAGE('Per-Trial Conf'!$F83:$H83)</f>
        <v/>
      </c>
      <c r="K268" s="10">
        <f>IF(COUNT('Per-Trial Conf'!$F83:$H83)&gt;1,STDEV('Per-Trial Conf'!$F83:$H83)/SQRT(COUNT('Per-Trial Conf'!$F83:$H83)),0)</f>
        <v/>
      </c>
      <c r="L268" s="10">
        <f>AVERAGE('Per-Trial Conf'!$I83:$K83)</f>
        <v/>
      </c>
      <c r="M268" s="10">
        <f>IF(COUNT('Per-Trial Conf'!$I83:$K83)&gt;1,STDEV('Per-Trial Conf'!$I83:$K83)/SQRT(COUNT('Per-Trial Conf'!$I83:$K83)),0)</f>
        <v/>
      </c>
    </row>
    <row r="269">
      <c r="A269" s="6" t="n"/>
      <c r="B269" s="6" t="n"/>
      <c r="C269" s="6" t="n"/>
      <c r="D269" s="6" t="n"/>
      <c r="E269" s="6" t="inlineStr">
        <is>
          <t>SUM</t>
        </is>
      </c>
      <c r="F269" s="12" t="n"/>
      <c r="G269" s="12" t="n"/>
      <c r="H269" s="12">
        <f>SUM(H265:H268)</f>
        <v/>
      </c>
      <c r="I269" s="12">
        <f>SUM(I265:I268)</f>
        <v/>
      </c>
      <c r="J269" s="12">
        <f>SUM(J265:J268)</f>
        <v/>
      </c>
      <c r="K269" s="12" t="n"/>
      <c r="L269" s="12">
        <f>SUM(L265:L268)</f>
        <v/>
      </c>
      <c r="M269" s="12" t="n"/>
    </row>
    <row r="270">
      <c r="A270" s="6" t="n"/>
      <c r="B270" s="6" t="n"/>
      <c r="C270" s="6" t="n"/>
      <c r="D270" s="6" t="n"/>
      <c r="E270" s="6" t="inlineStr">
        <is>
          <t>ensemble charge</t>
        </is>
      </c>
      <c r="F270" s="12" t="n"/>
      <c r="G270" s="12" t="n"/>
      <c r="H270" s="12" t="n"/>
      <c r="I270" s="12">
        <f>SUMPRODUCT($F265:$F268,I265:I268)</f>
        <v/>
      </c>
      <c r="J270" s="12">
        <f>SUMPRODUCT($F265:$F268,J265:J268)</f>
        <v/>
      </c>
      <c r="K270" s="12" t="n"/>
      <c r="L270" s="12">
        <f>SUMPRODUCT($F265:$F268,L265:L268)</f>
        <v/>
      </c>
      <c r="M270" s="12" t="n"/>
    </row>
    <row r="272">
      <c r="A272" s="5" t="inlineStr">
        <is>
          <t>SUM should be 1.000 within rounding. 'ensemble charge' is Σ charge × P — computed from Stat Mech, from P(i) soln and from P(i) bound; the P(i) soln value reproduces the ligand charge in Table 1 (crg soln) and the P(i) bound value reproduces crg bound, so the conformer populations and the residue charges are checked against each other.</t>
        </is>
      </c>
    </row>
  </sheetData>
  <mergeCells count="3">
    <mergeCell ref="J5:K5"/>
    <mergeCell ref="G5:I5"/>
    <mergeCell ref="L5:M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8" customWidth="1" min="4" max="4"/>
    <col width="11" customWidth="1" min="5" max="5"/>
    <col width="11" customWidth="1" min="6" max="6"/>
    <col width="10" customWidth="1" min="7" max="7"/>
    <col width="10" customWidth="1" min="8" max="8"/>
    <col width="11" customWidth="1" min="9" max="9"/>
    <col width="11" customWidth="1" min="10" max="10"/>
    <col width="11" customWidth="1" min="11" max="11"/>
    <col width="9" customWidth="1" min="12" max="12"/>
    <col width="8" customWidth="1" min="13" max="13"/>
    <col width="8" customWidth="1" min="14" max="14"/>
  </cols>
  <sheetData>
    <row r="1">
      <c r="A1" s="6" t="inlineStr">
        <is>
          <t>Differential binding free energy between tautomers, RT = 0.5925 kcal/mol</t>
        </is>
      </c>
    </row>
    <row r="2">
      <c r="A2" t="inlineStr">
        <is>
          <t>ddG(i-&gt;j) = -RT ln[ (P(j)prot/P(i)prot) / (P(j)soln/P(i)soln) ].  Negative favours state j when bound.  Computed within each trial, then averaged.  Pairs with any population &lt; 0.001 are skipped.</t>
        </is>
      </c>
    </row>
    <row r="4">
      <c r="A4" s="2" t="inlineStr">
        <is>
          <t>PDBID</t>
        </is>
      </c>
      <c r="B4" s="2" t="inlineStr">
        <is>
          <t>Ligand</t>
        </is>
      </c>
      <c r="C4" s="2" t="inlineStr">
        <is>
          <t>site</t>
        </is>
      </c>
      <c r="D4" s="2" t="inlineStr">
        <is>
          <t>charge</t>
        </is>
      </c>
      <c r="E4" s="2" t="inlineStr">
        <is>
          <t>state i</t>
        </is>
      </c>
      <c r="F4" s="2" t="inlineStr">
        <is>
          <t>state j</t>
        </is>
      </c>
      <c r="G4" s="2" t="inlineStr">
        <is>
          <t>P(i) soln</t>
        </is>
      </c>
      <c r="H4" s="2" t="inlineStr">
        <is>
          <t>P(j) soln</t>
        </is>
      </c>
      <c r="I4" s="2" t="inlineStr">
        <is>
          <t>P(i) bound</t>
        </is>
      </c>
      <c r="J4" s="2" t="inlineStr">
        <is>
          <t>P(j) bound</t>
        </is>
      </c>
      <c r="K4" s="2" t="inlineStr">
        <is>
          <t>ddG mean</t>
        </is>
      </c>
      <c r="L4" s="2" t="inlineStr">
        <is>
          <t>± SEM</t>
        </is>
      </c>
      <c r="M4" s="2" t="inlineStr">
        <is>
          <t>min</t>
        </is>
      </c>
      <c r="N4" s="2" t="inlineStr">
        <is>
          <t>max</t>
        </is>
      </c>
      <c r="O4" s="2" t="inlineStr">
        <is>
          <t>ddG T01</t>
        </is>
      </c>
      <c r="P4" s="2" t="inlineStr">
        <is>
          <t>ddG T02</t>
        </is>
      </c>
      <c r="Q4" s="2" t="inlineStr">
        <is>
          <t>ddG T03</t>
        </is>
      </c>
    </row>
    <row r="5">
      <c r="A5" s="3" t="inlineStr">
        <is>
          <t>3PYY</t>
        </is>
      </c>
      <c r="B5" s="3" t="inlineStr">
        <is>
          <t>Imatinib</t>
        </is>
      </c>
      <c r="C5" s="3" t="inlineStr"/>
      <c r="D5" s="3" t="n">
        <v>1</v>
      </c>
      <c r="E5" s="3" t="inlineStr">
        <is>
          <t>STI+1</t>
        </is>
      </c>
      <c r="F5" s="3" t="inlineStr">
        <is>
          <t>STI+2</t>
        </is>
      </c>
      <c r="G5" s="10" t="n">
        <v>0.588</v>
      </c>
      <c r="H5" s="10" t="n">
        <v>0.3800000000000001</v>
      </c>
      <c r="I5" s="10" t="n">
        <v>0.004</v>
      </c>
      <c r="J5" s="10" t="n">
        <v>0.996</v>
      </c>
      <c r="K5" s="4" t="n">
        <v>-3.540496249383459</v>
      </c>
      <c r="L5" s="4" t="n">
        <v>0.08794629586226949</v>
      </c>
      <c r="M5" s="4" t="n">
        <v>-3.698796299559615</v>
      </c>
      <c r="N5" s="4" t="n">
        <v>-3.394942358042342</v>
      </c>
      <c r="O5" s="4" t="n">
        <v>-3.52775009054842</v>
      </c>
      <c r="P5" s="4" t="n">
        <v>-3.698796299559615</v>
      </c>
      <c r="Q5" s="4" t="n">
        <v>-3.394942358042342</v>
      </c>
    </row>
    <row r="6">
      <c r="A6" s="3" t="inlineStr">
        <is>
          <t>4AGC</t>
        </is>
      </c>
      <c r="B6" s="3" t="inlineStr">
        <is>
          <t>Axitinib</t>
        </is>
      </c>
      <c r="C6" s="3" t="inlineStr"/>
      <c r="D6" s="3" t="n">
        <v>0</v>
      </c>
      <c r="E6" s="3" t="inlineStr">
        <is>
          <t>AXI01</t>
        </is>
      </c>
      <c r="F6" s="3" t="inlineStr">
        <is>
          <t>AXI02</t>
        </is>
      </c>
      <c r="G6" s="10" t="n">
        <v>0.8100000000000001</v>
      </c>
      <c r="H6" s="10" t="n">
        <v>0.187</v>
      </c>
      <c r="I6" s="10" t="n">
        <v>0.988</v>
      </c>
      <c r="J6" s="10" t="n">
        <v>0.012</v>
      </c>
      <c r="K6" s="4" t="n">
        <v>1.748747999414572</v>
      </c>
      <c r="L6" s="4" t="n">
        <v>0.04822950668280054</v>
      </c>
      <c r="M6" s="4" t="n">
        <v>1.652288986048971</v>
      </c>
      <c r="N6" s="4" t="n">
        <v>1.796977506097373</v>
      </c>
      <c r="O6" s="4" t="n">
        <v>1.796977506097373</v>
      </c>
      <c r="P6" s="4" t="n">
        <v>1.652288986048971</v>
      </c>
      <c r="Q6" s="4" t="n">
        <v>1.796977506097373</v>
      </c>
    </row>
    <row r="7">
      <c r="A7" s="3" t="inlineStr">
        <is>
          <t>3UE4</t>
        </is>
      </c>
      <c r="B7" s="3" t="inlineStr">
        <is>
          <t>Bosutinib</t>
        </is>
      </c>
      <c r="C7" s="3" t="inlineStr"/>
      <c r="D7" s="3" t="n">
        <v>1</v>
      </c>
      <c r="E7" s="3" t="inlineStr">
        <is>
          <t>DB8+1</t>
        </is>
      </c>
      <c r="F7" s="3" t="inlineStr">
        <is>
          <t>DB8+2</t>
        </is>
      </c>
      <c r="G7" s="10" t="n">
        <v>0.888</v>
      </c>
      <c r="H7" s="10" t="n">
        <v>0.057</v>
      </c>
      <c r="I7" s="10" t="n">
        <v>0.5656666666666667</v>
      </c>
      <c r="J7" s="10" t="n">
        <v>0.3886666666666667</v>
      </c>
      <c r="K7" s="4" t="n">
        <v>-1.404582433412808</v>
      </c>
      <c r="L7" s="4" t="n">
        <v>0.008973845356557575</v>
      </c>
      <c r="M7" s="4" t="n">
        <v>-1.415025230501415</v>
      </c>
      <c r="N7" s="4" t="n">
        <v>-1.386719804976803</v>
      </c>
      <c r="O7" s="4" t="n">
        <v>-1.412002264760207</v>
      </c>
      <c r="P7" s="4" t="n">
        <v>-1.386719804976803</v>
      </c>
      <c r="Q7" s="4" t="n">
        <v>-1.415025230501415</v>
      </c>
    </row>
    <row r="8">
      <c r="A8" s="3" t="inlineStr">
        <is>
          <t>3ZOS</t>
        </is>
      </c>
      <c r="B8" s="3" t="inlineStr">
        <is>
          <t>Ponatinib</t>
        </is>
      </c>
      <c r="C8" s="3" t="inlineStr">
        <is>
          <t>surface</t>
        </is>
      </c>
      <c r="D8" s="3" t="n">
        <v>1</v>
      </c>
      <c r="E8" s="3" t="inlineStr">
        <is>
          <t>0LI+1</t>
        </is>
      </c>
      <c r="F8" s="3" t="inlineStr">
        <is>
          <t>0LI+2</t>
        </is>
      </c>
      <c r="G8" s="10" t="n">
        <v>0.5886666666666667</v>
      </c>
      <c r="H8" s="10" t="n">
        <v>0.3753333333333333</v>
      </c>
      <c r="I8" s="10" t="n">
        <v>0.1813333333333333</v>
      </c>
      <c r="J8" s="10" t="n">
        <v>0.7149999999999999</v>
      </c>
      <c r="K8" s="4" t="n">
        <v>-1.081711965443157</v>
      </c>
      <c r="L8" s="4" t="n">
        <v>0.04743769183950952</v>
      </c>
      <c r="M8" s="4" t="n">
        <v>-1.174440125431717</v>
      </c>
      <c r="N8" s="4" t="n">
        <v>-1.017966283680546</v>
      </c>
      <c r="O8" s="4" t="n">
        <v>-1.174440125431717</v>
      </c>
      <c r="P8" s="4" t="n">
        <v>-1.052729487217208</v>
      </c>
      <c r="Q8" s="4" t="n">
        <v>-1.017966283680546</v>
      </c>
    </row>
    <row r="9">
      <c r="A9" s="3" t="inlineStr">
        <is>
          <t>4AG8</t>
        </is>
      </c>
      <c r="B9" s="3" t="inlineStr">
        <is>
          <t>Axitinib</t>
        </is>
      </c>
      <c r="C9" s="3" t="inlineStr"/>
      <c r="D9" s="3" t="n">
        <v>0</v>
      </c>
      <c r="E9" s="3" t="inlineStr">
        <is>
          <t>AXI01</t>
        </is>
      </c>
      <c r="F9" s="3" t="inlineStr">
        <is>
          <t>AXI02</t>
        </is>
      </c>
      <c r="G9" s="10" t="n">
        <v>0.8100000000000001</v>
      </c>
      <c r="H9" s="10" t="n">
        <v>0.187</v>
      </c>
      <c r="I9" s="10" t="n">
        <v>0.9606666666666666</v>
      </c>
      <c r="J9" s="10" t="n">
        <v>0.03933333333333333</v>
      </c>
      <c r="K9" s="4" t="n">
        <v>1.024847736559725</v>
      </c>
      <c r="L9" s="4" t="n">
        <v>0.005205889167308354</v>
      </c>
      <c r="M9" s="4" t="n">
        <v>1.014435958225108</v>
      </c>
      <c r="N9" s="4" t="n">
        <v>1.030053625727033</v>
      </c>
      <c r="O9" s="4" t="n">
        <v>1.030053625727033</v>
      </c>
      <c r="P9" s="4" t="n">
        <v>1.030053625727033</v>
      </c>
      <c r="Q9" s="4" t="n">
        <v>1.014435958225108</v>
      </c>
    </row>
    <row r="10">
      <c r="A10" s="3" t="inlineStr">
        <is>
          <t>4ZAU</t>
        </is>
      </c>
      <c r="B10" s="3" t="inlineStr">
        <is>
          <t>Osimertinib</t>
        </is>
      </c>
      <c r="C10" s="3" t="inlineStr"/>
      <c r="D10" s="3" t="n">
        <v>1</v>
      </c>
      <c r="E10" s="3" t="inlineStr">
        <is>
          <t>YY3+1</t>
        </is>
      </c>
      <c r="F10" s="3" t="inlineStr">
        <is>
          <t>YY3+2</t>
        </is>
      </c>
      <c r="G10" s="10" t="n">
        <v>0.9739999999999999</v>
      </c>
      <c r="H10" s="10" t="n">
        <v>0.004</v>
      </c>
      <c r="I10" s="10" t="n">
        <v>0.9846666666666666</v>
      </c>
      <c r="J10" s="10" t="n">
        <v>0.003333333333333334</v>
      </c>
      <c r="K10" s="4" t="n">
        <v>0.1433470858769452</v>
      </c>
      <c r="L10" s="4" t="n">
        <v>0.1364015729889483</v>
      </c>
      <c r="M10" s="4" t="n">
        <v>0.004846652791818937</v>
      </c>
      <c r="N10" s="4" t="n">
        <v>0.4161394107607618</v>
      </c>
      <c r="O10" s="4" t="n">
        <v>0.009055194078254883</v>
      </c>
      <c r="P10" s="4" t="n">
        <v>0.4161394107607618</v>
      </c>
      <c r="Q10" s="4" t="n">
        <v>0.004846652791818937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6" t="inlineStr">
        <is>
          <t>Methods: how the Trials statistics were computed</t>
        </is>
      </c>
    </row>
    <row r="2">
      <c r="A2" s="5" t="inlineStr">
        <is>
          <t>Generated 2026-09-23 15:21:54 by make_trials_tables_xlsx.py</t>
        </is>
      </c>
    </row>
    <row r="4">
      <c r="A4" s="6" t="inlineStr">
        <is>
          <t>Replicates</t>
        </is>
      </c>
    </row>
    <row r="5">
      <c r="A5" s="3" t="inlineStr">
        <is>
          <t>n</t>
        </is>
      </c>
      <c r="B5" s="13" t="inlineStr">
        <is>
          <t>3 independent trials of the full MCCE4 pipeline (steps 1-4)</t>
        </is>
      </c>
    </row>
    <row r="6">
      <c r="A6" s="3" t="inlineStr">
        <is>
          <t>Trial01</t>
        </is>
      </c>
      <c r="B6" s="13" t="inlineStr">
        <is>
          <t>MONTE_SEED = 1001</t>
        </is>
      </c>
    </row>
    <row r="7">
      <c r="A7" s="3" t="inlineStr">
        <is>
          <t>Trial02</t>
        </is>
      </c>
      <c r="B7" s="13" t="inlineStr">
        <is>
          <t>MONTE_SEED = 1002</t>
        </is>
      </c>
    </row>
    <row r="8">
      <c r="A8" s="3" t="inlineStr">
        <is>
          <t>Trial03</t>
        </is>
      </c>
      <c r="B8" s="13" t="inlineStr">
        <is>
          <t>MONTE_SEED = 1003</t>
        </is>
      </c>
    </row>
    <row r="9">
      <c r="A9" s="3" t="inlineStr">
        <is>
          <t>What varies</t>
        </is>
      </c>
      <c r="B9" s="13" t="inlineStr">
        <is>
          <t>step2 rotamer generation does not reproduce between runs, so each trial has its own conformer set, and step4 Monte Carlo uses a per-trial seed. A trial is therefore the replicate unit: re-running step4 alone in a finished tree would hold the conformers fixed and understate the spread.</t>
        </is>
      </c>
    </row>
    <row r="11">
      <c r="A11" s="6" t="inlineStr">
        <is>
          <t>Statistics</t>
        </is>
      </c>
    </row>
    <row r="12">
      <c r="A12" s="3" t="inlineStr">
        <is>
          <t>mean</t>
        </is>
      </c>
      <c r="B12" s="13" t="inlineStr">
        <is>
          <t>arithmetic mean over the n trials</t>
        </is>
      </c>
    </row>
    <row r="13">
      <c r="A13" s="3" t="inlineStr">
        <is>
          <t>SD</t>
        </is>
      </c>
      <c r="B13" s="13" t="inlineStr">
        <is>
          <t>sample standard deviation (n-1 denominator)</t>
        </is>
      </c>
    </row>
    <row r="14">
      <c r="A14" s="3" t="inlineStr">
        <is>
          <t>SEM</t>
        </is>
      </c>
      <c r="B14" s="13" t="inlineStr">
        <is>
          <t>SD / √n — every ± column, and the plotted error bar</t>
        </is>
      </c>
    </row>
    <row r="15">
      <c r="A15" s="3" t="inlineStr">
        <is>
          <t>∆crg (Table 1)</t>
        </is>
      </c>
      <c r="B15" s="13" t="inlineStr">
        <is>
          <t>difference of the trial means; ± is the propagated SEM √(a²+b²)</t>
        </is>
      </c>
    </row>
    <row r="16">
      <c r="A16" s="3" t="inlineStr">
        <is>
          <t>∆q (per residue)</t>
        </is>
      </c>
      <c r="B16" s="13" t="inlineStr">
        <is>
          <t>holo − apo computed WITHIN each trial, then averaged. apo reuses holo's conformers inside a trial, so the pairing cancels the conformer set; combining two independent SEMs would overstate the error.</t>
        </is>
      </c>
    </row>
    <row r="18">
      <c r="A18" s="3" t="inlineStr">
        <is>
          <t>Caveat</t>
        </is>
      </c>
      <c r="B18" s="13" t="inlineStr">
        <is>
          <t>Error bars are ±1 SEM, NOT a confidence interval. With n=3 there are 2 degrees of freedom, so a 95% CI would be mean ± 4.30 × SEM.</t>
        </is>
      </c>
    </row>
    <row r="19">
      <c r="A19" s="3" t="inlineStr">
        <is>
          <t>Scope</t>
        </is>
      </c>
      <c r="B19" s="13" t="inlineStr">
        <is>
          <t>The spread reflects run-to-run reproducibility of the pipeline. It does not include force-field, dielectric (ε=4) or crystal-structure uncertainty.</t>
        </is>
      </c>
    </row>
    <row r="21">
      <c r="A21" s="6" t="inlineStr">
        <is>
          <t>Provenance</t>
        </is>
      </c>
    </row>
    <row r="22">
      <c r="A22" s="3" t="inlineStr">
        <is>
          <t>Charges</t>
        </is>
      </c>
      <c r="B22" s="13" t="inlineStr">
        <is>
          <t>xts_sum_crg.out at pH 7.4 — the entropy-corrected output of xts_corr.py, which step4 does not produce on its own</t>
        </is>
      </c>
    </row>
    <row r="23">
      <c r="A23" s="3" t="inlineStr">
        <is>
          <t>Ligand #conf</t>
        </is>
      </c>
      <c r="B23" s="13" t="inlineStr">
        <is>
          <t>conformer count for the ligand in run_inhib/head3.lst</t>
        </is>
      </c>
    </row>
    <row r="24">
      <c r="A24" s="3" t="inlineStr">
        <is>
          <t>Kinase</t>
        </is>
      </c>
      <c r="B24" s="13" t="inlineStr">
        <is>
          <t>the Kinase column of pdb_inhibitor.lst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3" customWidth="1" min="3" max="3"/>
    <col width="9" customWidth="1" min="4" max="4"/>
    <col width="7" customWidth="1" min="5" max="5"/>
    <col width="8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4" t="inlineStr">
        <is>
          <t>Tier</t>
        </is>
      </c>
      <c r="B1" s="14" t="inlineStr">
        <is>
          <t>PDB</t>
        </is>
      </c>
      <c r="C1" s="14" t="inlineStr">
        <is>
          <t>Inhibitor</t>
        </is>
      </c>
      <c r="D1" s="14" t="inlineStr">
        <is>
          <t>ResName</t>
        </is>
      </c>
      <c r="E1" s="14" t="inlineStr">
        <is>
          <t>Chain</t>
        </is>
      </c>
      <c r="F1" s="14" t="inlineStr">
        <is>
          <t>ResNum</t>
        </is>
      </c>
      <c r="G1" s="14" t="inlineStr">
        <is>
          <t>Residue</t>
        </is>
      </c>
      <c r="H1" s="14" t="inlineStr">
        <is>
          <t>ApoCharge</t>
        </is>
      </c>
      <c r="I1" s="14" t="inlineStr">
        <is>
          <t>HoloCharge</t>
        </is>
      </c>
      <c r="J1" s="14" t="inlineStr">
        <is>
          <t>DeltaCharge</t>
        </is>
      </c>
      <c r="K1" s="14" t="inlineStr">
        <is>
          <t>DeltaSEM</t>
        </is>
      </c>
      <c r="L1" s="14" t="inlineStr">
        <is>
          <t>DeltaMin</t>
        </is>
      </c>
      <c r="M1" s="14" t="inlineStr">
        <is>
          <t>DeltaMax</t>
        </is>
      </c>
      <c r="N1" s="14" t="inlineStr">
        <is>
          <t>Reproducible</t>
        </is>
      </c>
    </row>
    <row r="2">
      <c r="A2" s="3" t="inlineStr">
        <is>
          <t>strong</t>
        </is>
      </c>
      <c r="B2" s="3" t="inlineStr">
        <is>
          <t>4MKC</t>
        </is>
      </c>
      <c r="C2" s="3" t="inlineStr">
        <is>
          <t>Ceritinib</t>
        </is>
      </c>
      <c r="D2" s="3" t="inlineStr">
        <is>
          <t>LYS</t>
        </is>
      </c>
      <c r="E2" s="3" t="inlineStr">
        <is>
          <t>A</t>
        </is>
      </c>
      <c r="F2" s="3" t="n">
        <v>1205</v>
      </c>
      <c r="G2" s="3" t="inlineStr">
        <is>
          <t>LYS+A1205</t>
        </is>
      </c>
      <c r="H2" s="10" t="n">
        <v>0.663</v>
      </c>
      <c r="I2" s="10" t="n">
        <v>0.153</v>
      </c>
      <c r="J2" s="10" t="n">
        <v>-0.51</v>
      </c>
      <c r="K2" s="10" t="n">
        <v>0</v>
      </c>
      <c r="L2" s="10" t="n">
        <v>-0.51</v>
      </c>
      <c r="M2" s="10" t="n">
        <v>-0.51</v>
      </c>
      <c r="N2" s="3" t="inlineStr">
        <is>
          <t>yes</t>
        </is>
      </c>
    </row>
    <row r="3">
      <c r="A3" s="3" t="inlineStr">
        <is>
          <t>affected</t>
        </is>
      </c>
      <c r="B3" s="3" t="inlineStr">
        <is>
          <t>1XKK</t>
        </is>
      </c>
      <c r="C3" s="3" t="inlineStr">
        <is>
          <t>Lapatinib</t>
        </is>
      </c>
      <c r="D3" s="3" t="inlineStr">
        <is>
          <t>LYS</t>
        </is>
      </c>
      <c r="E3" s="3" t="inlineStr">
        <is>
          <t>A</t>
        </is>
      </c>
      <c r="F3" s="3" t="n">
        <v>745</v>
      </c>
      <c r="G3" s="3" t="inlineStr">
        <is>
          <t>LYS+A0745</t>
        </is>
      </c>
      <c r="H3" s="10" t="n">
        <v>0.887</v>
      </c>
      <c r="I3" s="10" t="n">
        <v>0.49</v>
      </c>
      <c r="J3" s="10" t="n">
        <v>-0.397</v>
      </c>
      <c r="K3" s="10" t="n">
        <v>0.022</v>
      </c>
      <c r="L3" s="10" t="n">
        <v>-0.44</v>
      </c>
      <c r="M3" s="10" t="n">
        <v>-0.37</v>
      </c>
      <c r="N3" s="3" t="inlineStr">
        <is>
          <t>yes</t>
        </is>
      </c>
    </row>
    <row r="4">
      <c r="A4" s="3" t="inlineStr">
        <is>
          <t>affected</t>
        </is>
      </c>
      <c r="B4" s="3" t="inlineStr">
        <is>
          <t>1XKK</t>
        </is>
      </c>
      <c r="C4" s="3" t="inlineStr">
        <is>
          <t>Lapatinib</t>
        </is>
      </c>
      <c r="D4" s="3" t="inlineStr">
        <is>
          <t>CYS</t>
        </is>
      </c>
      <c r="E4" s="3" t="inlineStr">
        <is>
          <t>A</t>
        </is>
      </c>
      <c r="F4" s="3" t="n">
        <v>775</v>
      </c>
      <c r="G4" s="3" t="inlineStr">
        <is>
          <t>CYS-A0775</t>
        </is>
      </c>
      <c r="H4" s="10" t="n">
        <v>-0.263</v>
      </c>
      <c r="I4" s="10" t="n">
        <v>0</v>
      </c>
      <c r="J4" s="10" t="n">
        <v>0.263</v>
      </c>
      <c r="K4" s="10" t="n">
        <v>0.037</v>
      </c>
      <c r="L4" s="10" t="n">
        <v>0.19</v>
      </c>
      <c r="M4" s="10" t="n">
        <v>0.3</v>
      </c>
      <c r="N4" s="3" t="inlineStr">
        <is>
          <t>NO</t>
        </is>
      </c>
    </row>
    <row r="5">
      <c r="A5" s="3" t="inlineStr">
        <is>
          <t>affected</t>
        </is>
      </c>
      <c r="B5" s="3" t="inlineStr">
        <is>
          <t>3UE4</t>
        </is>
      </c>
      <c r="C5" s="3" t="inlineStr">
        <is>
          <t>Bosutinib</t>
        </is>
      </c>
      <c r="D5" s="3" t="inlineStr">
        <is>
          <t>GLU</t>
        </is>
      </c>
      <c r="E5" s="3" t="inlineStr">
        <is>
          <t>A</t>
        </is>
      </c>
      <c r="F5" s="3" t="n">
        <v>286</v>
      </c>
      <c r="G5" s="3" t="inlineStr">
        <is>
          <t>GLU-A0286</t>
        </is>
      </c>
      <c r="H5" s="10" t="n">
        <v>-0.307</v>
      </c>
      <c r="I5" s="10" t="n">
        <v>-0.5570000000000001</v>
      </c>
      <c r="J5" s="10" t="n">
        <v>-0.25</v>
      </c>
      <c r="K5" s="10" t="n">
        <v>0.012</v>
      </c>
      <c r="L5" s="10" t="n">
        <v>-0.27</v>
      </c>
      <c r="M5" s="10" t="n">
        <v>-0.23</v>
      </c>
      <c r="N5" s="3" t="inlineStr">
        <is>
          <t>yes</t>
        </is>
      </c>
    </row>
    <row r="6">
      <c r="A6" s="3" t="inlineStr">
        <is>
          <t>affected</t>
        </is>
      </c>
      <c r="B6" s="3" t="inlineStr">
        <is>
          <t>4AN2</t>
        </is>
      </c>
      <c r="C6" s="3" t="inlineStr">
        <is>
          <t>Cobimetinib</t>
        </is>
      </c>
      <c r="D6" s="3" t="inlineStr">
        <is>
          <t>CYS</t>
        </is>
      </c>
      <c r="E6" s="3" t="inlineStr">
        <is>
          <t>A</t>
        </is>
      </c>
      <c r="F6" s="3" t="n">
        <v>207</v>
      </c>
      <c r="G6" s="3" t="inlineStr">
        <is>
          <t>CYS-A0207</t>
        </is>
      </c>
      <c r="H6" s="10" t="n">
        <v>-0.74</v>
      </c>
      <c r="I6" s="10" t="n">
        <v>-0.97</v>
      </c>
      <c r="J6" s="10" t="n">
        <v>-0.23</v>
      </c>
      <c r="K6" s="10" t="n">
        <v>0.006</v>
      </c>
      <c r="L6" s="10" t="n">
        <v>-0.24</v>
      </c>
      <c r="M6" s="10" t="n">
        <v>-0.22</v>
      </c>
      <c r="N6" s="3" t="inlineStr">
        <is>
          <t>yes</t>
        </is>
      </c>
    </row>
    <row r="8">
      <c r="A8" s="5" t="inlineStr">
        <is>
          <t>Reproducible = every trial clears the tier threshold. 'NO' means the classification depends on which trial you look at.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0" customWidth="1" min="3" max="3"/>
    <col width="62" customWidth="1" min="4" max="4"/>
  </cols>
  <sheetData>
    <row r="1">
      <c r="A1" s="6" t="inlineStr">
        <is>
          <t>Is the mean a fair summary of the trials?</t>
        </is>
      </c>
    </row>
    <row r="3">
      <c r="A3" s="6" t="inlineStr">
        <is>
          <t>Fig4A — per residue (holo vs apo)</t>
        </is>
      </c>
    </row>
    <row r="4">
      <c r="A4" s="6" t="inlineStr">
        <is>
          <t>Category</t>
        </is>
      </c>
      <c r="B4" s="6" t="inlineStr">
        <is>
          <t>N</t>
        </is>
      </c>
      <c r="C4" s="6" t="inlineStr">
        <is>
          <t>Percent</t>
        </is>
      </c>
      <c r="D4" s="6" t="inlineStr">
        <is>
          <t>Meaning</t>
        </is>
      </c>
    </row>
    <row r="5">
      <c r="A5" s="3" t="inlineStr">
        <is>
          <t>identical</t>
        </is>
      </c>
      <c r="B5" s="3" t="n">
        <v>3179</v>
      </c>
      <c r="C5" s="3" t="n">
        <v>86.7</v>
      </c>
      <c r="D5" s="3" t="inlineStr">
        <is>
          <t>all trials gave the same value; SEM is exactly 0</t>
        </is>
      </c>
    </row>
    <row r="6">
      <c r="A6" s="3" t="inlineStr">
        <is>
          <t>scattered</t>
        </is>
      </c>
      <c r="B6" s="3" t="n">
        <v>488</v>
      </c>
      <c r="C6" s="3" t="n">
        <v>13.3</v>
      </c>
      <c r="D6" s="3" t="inlineStr">
        <is>
          <t>unimodal spread; mean +/- SEM is a fair summary</t>
        </is>
      </c>
    </row>
    <row r="7">
      <c r="A7" s="3" t="inlineStr">
        <is>
          <t>two-state</t>
        </is>
      </c>
      <c r="B7" s="3" t="n">
        <v>1</v>
      </c>
      <c r="C7" s="3" t="n">
        <v>0</v>
      </c>
      <c r="D7" s="3" t="inlineStr">
        <is>
          <t>discrete bistability; the mean is a value never sampled</t>
        </is>
      </c>
    </row>
    <row r="9">
      <c r="A9" s="6" t="inlineStr">
        <is>
          <t># points NOT summarised well by mean +/- SEM</t>
        </is>
      </c>
    </row>
    <row r="10">
      <c r="A10" s="6" t="inlineStr">
        <is>
          <t>Key</t>
        </is>
      </c>
      <c r="B10" s="6" t="inlineStr">
        <is>
          <t>PerTrial</t>
        </is>
      </c>
      <c r="C10" s="6" t="inlineStr">
        <is>
          <t>Range</t>
        </is>
      </c>
    </row>
    <row r="11">
      <c r="A11" s="3" t="inlineStr">
        <is>
          <t>4I22/HIS+A0850_</t>
        </is>
      </c>
      <c r="B11" s="3" t="inlineStr">
        <is>
          <t>-0.13;-0.27;-0.19</t>
        </is>
      </c>
      <c r="C11" s="3" t="n">
        <v>0.14</v>
      </c>
    </row>
    <row r="12">
      <c r="A12" s="3" t="inlineStr">
        <is>
          <t>1XKK/LYS+A0852_</t>
        </is>
      </c>
      <c r="B12" s="3" t="inlineStr">
        <is>
          <t>-0.22;-0.10;-0.21</t>
        </is>
      </c>
      <c r="C12" s="3" t="n">
        <v>0.12</v>
      </c>
    </row>
    <row r="13">
      <c r="A13" s="3" t="inlineStr">
        <is>
          <t>1XKK/CYS-A0775_</t>
        </is>
      </c>
      <c r="B13" s="3" t="inlineStr">
        <is>
          <t>+0.30;+0.19;+0.30</t>
        </is>
      </c>
      <c r="C13" s="3" t="n">
        <v>0.11</v>
      </c>
    </row>
    <row r="14">
      <c r="A14" s="3" t="inlineStr">
        <is>
          <t>4I22/HIS+A0773_</t>
        </is>
      </c>
      <c r="B14" s="3" t="inlineStr">
        <is>
          <t>+0.13;+0.21;+0.15</t>
        </is>
      </c>
      <c r="C14" s="3" t="n">
        <v>0.08</v>
      </c>
    </row>
    <row r="15">
      <c r="A15" s="3" t="inlineStr">
        <is>
          <t>1XKK/LYS+A0745_</t>
        </is>
      </c>
      <c r="B15" s="3" t="inlineStr">
        <is>
          <t>-0.44;-0.38;-0.37</t>
        </is>
      </c>
      <c r="C15" s="3" t="n">
        <v>0.07000000000000001</v>
      </c>
    </row>
    <row r="16">
      <c r="A16" s="3" t="inlineStr">
        <is>
          <t>5L2I/ASP-A0163_</t>
        </is>
      </c>
      <c r="B16" s="3" t="inlineStr">
        <is>
          <t>+0.13;+0.06;+0.07</t>
        </is>
      </c>
      <c r="C16" s="3" t="n">
        <v>0.07000000000000001</v>
      </c>
    </row>
    <row r="17">
      <c r="A17" s="3" t="inlineStr">
        <is>
          <t>4AGD/ASP-A0809_</t>
        </is>
      </c>
      <c r="B17" s="3" t="inlineStr">
        <is>
          <t>+0.02;+0.00;-0.03</t>
        </is>
      </c>
      <c r="C17" s="3" t="n">
        <v>0.05</v>
      </c>
    </row>
    <row r="19">
      <c r="A19" s="6" t="inlineStr">
        <is>
          <t>Fig3 — per inhibitor (bound vs solution)</t>
        </is>
      </c>
    </row>
    <row r="20">
      <c r="A20" s="6" t="inlineStr">
        <is>
          <t>Category</t>
        </is>
      </c>
      <c r="B20" s="6" t="inlineStr">
        <is>
          <t>N</t>
        </is>
      </c>
      <c r="C20" s="6" t="inlineStr">
        <is>
          <t>Percent</t>
        </is>
      </c>
      <c r="D20" s="6" t="inlineStr">
        <is>
          <t>Meaning</t>
        </is>
      </c>
    </row>
    <row r="21">
      <c r="A21" s="3" t="inlineStr">
        <is>
          <t>identical</t>
        </is>
      </c>
      <c r="B21" s="3" t="n">
        <v>22</v>
      </c>
      <c r="C21" s="3" t="n">
        <v>57.9</v>
      </c>
      <c r="D21" s="3" t="inlineStr">
        <is>
          <t>all trials gave the same value; SEM is exactly 0</t>
        </is>
      </c>
    </row>
    <row r="22">
      <c r="A22" s="3" t="inlineStr">
        <is>
          <t>scattered</t>
        </is>
      </c>
      <c r="B22" s="3" t="n">
        <v>14</v>
      </c>
      <c r="C22" s="3" t="n">
        <v>36.8</v>
      </c>
      <c r="D22" s="3" t="inlineStr">
        <is>
          <t>unimodal spread; mean +/- SEM is a fair summary</t>
        </is>
      </c>
    </row>
    <row r="23">
      <c r="A23" s="3" t="inlineStr">
        <is>
          <t>two-state</t>
        </is>
      </c>
      <c r="B23" s="3" t="n">
        <v>2</v>
      </c>
      <c r="C23" s="3" t="n">
        <v>5.3</v>
      </c>
      <c r="D23" s="3" t="inlineStr">
        <is>
          <t>discrete bistability; the mean is a value never sampled</t>
        </is>
      </c>
    </row>
    <row r="25">
      <c r="A25" s="6" t="inlineStr">
        <is>
          <t># points NOT summarised well by mean +/- SEM</t>
        </is>
      </c>
    </row>
    <row r="26">
      <c r="A26" s="6" t="inlineStr">
        <is>
          <t>Key</t>
        </is>
      </c>
      <c r="B26" s="6" t="inlineStr">
        <is>
          <t>PerTrial</t>
        </is>
      </c>
      <c r="C26" s="6" t="inlineStr">
        <is>
          <t>Range</t>
        </is>
      </c>
    </row>
    <row r="27">
      <c r="A27" s="3" t="inlineStr">
        <is>
          <t>3CS9</t>
        </is>
      </c>
      <c r="B27" s="3" t="inlineStr">
        <is>
          <t>+0.42;+0.63;+0.19</t>
        </is>
      </c>
      <c r="C27" s="3" t="n">
        <v>0.44</v>
      </c>
    </row>
    <row r="28">
      <c r="A28" s="3" t="inlineStr">
        <is>
          <t>1XKK</t>
        </is>
      </c>
      <c r="B28" s="3" t="inlineStr">
        <is>
          <t>+0.70;+0.50;+0.53</t>
        </is>
      </c>
      <c r="C28" s="3" t="n">
        <v>0.2</v>
      </c>
    </row>
    <row r="29">
      <c r="A29" s="3" t="inlineStr">
        <is>
          <t>3AOX</t>
        </is>
      </c>
      <c r="B29" s="3" t="inlineStr">
        <is>
          <t>+0.79;+0.90;+0.79</t>
        </is>
      </c>
      <c r="C29" s="3" t="n">
        <v>0.11</v>
      </c>
    </row>
    <row r="30">
      <c r="A30" s="3" t="inlineStr">
        <is>
          <t>4WKQ</t>
        </is>
      </c>
      <c r="B30" s="3" t="inlineStr">
        <is>
          <t>+0.43;+0.49;+0.47</t>
        </is>
      </c>
      <c r="C30" s="3" t="n">
        <v>0.06</v>
      </c>
    </row>
    <row r="31">
      <c r="A31" s="3" t="inlineStr">
        <is>
          <t>2ITO</t>
        </is>
      </c>
      <c r="B31" s="3" t="inlineStr">
        <is>
          <t>+0.75;+0.80;+0.80</t>
        </is>
      </c>
      <c r="C31" s="3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2026-09-23T15:21:54Z</dcterms:created>
  <dcterms:modified xmlns:dcterms="http://purl.org/dc/terms/" xmlns:xsi="http://www.w3.org/2001/XMLSchema-instance" xsi:type="dcterms:W3CDTF">2026-09-23T15:21:54Z</dcterms:modified>
</cp:coreProperties>
</file>