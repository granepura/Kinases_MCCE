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nepura/Graduate Center Dropbox/Gehan Ranepura/mcce-development-2024/Kinase_Project/"/>
    </mc:Choice>
  </mc:AlternateContent>
  <xr:revisionPtr revIDLastSave="0" documentId="13_ncr:1_{3F6C24AB-6869-0D45-BBCD-C238D84021CD}" xr6:coauthVersionLast="47" xr6:coauthVersionMax="47" xr10:uidLastSave="{00000000-0000-0000-0000-000000000000}"/>
  <bookViews>
    <workbookView xWindow="1640" yWindow="660" windowWidth="30240" windowHeight="17920" activeTab="4" xr2:uid="{37B80709-00A1-9846-BFB3-D09BF45DC0B4}"/>
  </bookViews>
  <sheets>
    <sheet name="PWD" sheetId="2" r:id="rId1"/>
    <sheet name="SI.1 peptide" sheetId="3" r:id="rId2"/>
    <sheet name="SI.2 Capped" sheetId="4" r:id="rId3"/>
    <sheet name="SI.3.Conf" sheetId="6" r:id="rId4"/>
    <sheet name="SI.3.Conf + 9missing" sheetId="7" r:id="rId5"/>
    <sheet name="Table 1" sheetId="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P53" i="1"/>
  <c r="P52" i="1"/>
  <c r="P49" i="1"/>
  <c r="P50" i="1"/>
  <c r="P51" i="1"/>
  <c r="P48" i="1"/>
  <c r="P46" i="1"/>
  <c r="P44" i="1"/>
  <c r="P43" i="1"/>
  <c r="P41" i="1"/>
  <c r="P39" i="1"/>
  <c r="P38" i="1"/>
  <c r="P35" i="1"/>
  <c r="P36" i="1"/>
  <c r="P37" i="1"/>
  <c r="P34" i="1"/>
  <c r="P31" i="1"/>
  <c r="P32" i="1"/>
  <c r="P33" i="1"/>
  <c r="P30" i="1"/>
  <c r="P27" i="1"/>
  <c r="J25" i="1"/>
  <c r="P25" i="1"/>
  <c r="P24" i="1"/>
  <c r="P22" i="1"/>
  <c r="P21" i="1"/>
  <c r="P20" i="1"/>
  <c r="P16" i="1"/>
  <c r="P17" i="1"/>
  <c r="P18" i="1"/>
  <c r="P15" i="1"/>
  <c r="P13" i="1"/>
  <c r="P10" i="1"/>
  <c r="P11" i="1"/>
  <c r="P12" i="1"/>
  <c r="P9" i="1"/>
  <c r="O53" i="1"/>
  <c r="O49" i="1"/>
  <c r="O50" i="1"/>
  <c r="O51" i="1"/>
  <c r="O52" i="1"/>
  <c r="O48" i="1"/>
  <c r="O46" i="1"/>
  <c r="O44" i="1"/>
  <c r="O43" i="1"/>
  <c r="O41" i="1"/>
  <c r="O39" i="1"/>
  <c r="O38" i="1"/>
  <c r="O37" i="1"/>
  <c r="O35" i="1"/>
  <c r="O36" i="1"/>
  <c r="O34" i="1"/>
  <c r="O31" i="1"/>
  <c r="O32" i="1"/>
  <c r="O33" i="1"/>
  <c r="O30" i="1"/>
  <c r="O28" i="1"/>
  <c r="O27" i="1"/>
  <c r="O25" i="1"/>
  <c r="O24" i="1"/>
  <c r="O22" i="1"/>
  <c r="O20" i="1"/>
  <c r="O21" i="1"/>
  <c r="O19" i="1"/>
  <c r="O16" i="1"/>
  <c r="O17" i="1"/>
  <c r="O18" i="1"/>
  <c r="O15" i="1"/>
  <c r="O13" i="1"/>
  <c r="O10" i="1"/>
  <c r="O12" i="1"/>
  <c r="O9" i="1"/>
  <c r="J53" i="1"/>
  <c r="J52" i="1"/>
  <c r="J49" i="1"/>
  <c r="J50" i="1"/>
  <c r="J51" i="1"/>
  <c r="J48" i="1"/>
  <c r="J46" i="1"/>
  <c r="J44" i="1"/>
  <c r="J43" i="1"/>
  <c r="J41" i="1"/>
  <c r="J39" i="1"/>
  <c r="J38" i="1"/>
  <c r="J37" i="1"/>
  <c r="J35" i="1"/>
  <c r="J36" i="1"/>
  <c r="J34" i="1"/>
  <c r="J31" i="1"/>
  <c r="J32" i="1"/>
  <c r="J33" i="1"/>
  <c r="J30" i="1"/>
  <c r="J27" i="1"/>
  <c r="J24" i="1"/>
  <c r="J22" i="1"/>
  <c r="J20" i="1"/>
  <c r="J21" i="1"/>
  <c r="J19" i="1"/>
  <c r="P19" i="1" s="1"/>
  <c r="J18" i="1"/>
  <c r="J16" i="1"/>
  <c r="J17" i="1"/>
  <c r="J15" i="1"/>
  <c r="J13" i="1"/>
  <c r="J10" i="1"/>
  <c r="J11" i="1"/>
  <c r="J12" i="1"/>
  <c r="J9" i="1"/>
  <c r="F35" i="1"/>
  <c r="F36" i="1"/>
  <c r="F37" i="1"/>
  <c r="F34" i="1"/>
  <c r="K62" i="7"/>
  <c r="L53" i="7"/>
  <c r="M53" i="7"/>
  <c r="N53" i="7"/>
  <c r="O53" i="7"/>
  <c r="L54" i="7"/>
  <c r="M54" i="7"/>
  <c r="N54" i="7"/>
  <c r="O54" i="7"/>
  <c r="L89" i="7"/>
  <c r="N88" i="7"/>
  <c r="O88" i="7"/>
  <c r="N89" i="7"/>
  <c r="O89" i="7"/>
  <c r="L88" i="7"/>
  <c r="K61" i="7"/>
  <c r="M88" i="7"/>
  <c r="M89" i="7"/>
  <c r="I166" i="7"/>
  <c r="I165" i="7"/>
  <c r="J163" i="7"/>
  <c r="J165" i="7" s="1"/>
  <c r="K158" i="7"/>
  <c r="J158" i="7"/>
  <c r="I158" i="7"/>
  <c r="K157" i="7"/>
  <c r="J157" i="7"/>
  <c r="I157" i="7"/>
  <c r="J150" i="7"/>
  <c r="I150" i="7"/>
  <c r="J149" i="7"/>
  <c r="I149" i="7"/>
  <c r="K143" i="7"/>
  <c r="J143" i="7"/>
  <c r="I143" i="7"/>
  <c r="K142" i="7"/>
  <c r="J142" i="7"/>
  <c r="I142" i="7"/>
  <c r="I134" i="7"/>
  <c r="I133" i="7"/>
  <c r="J129" i="7"/>
  <c r="J134" i="7" s="1"/>
  <c r="K124" i="7"/>
  <c r="J124" i="7"/>
  <c r="I124" i="7"/>
  <c r="K123" i="7"/>
  <c r="J123" i="7"/>
  <c r="I123" i="7"/>
  <c r="J115" i="7"/>
  <c r="I115" i="7"/>
  <c r="J114" i="7"/>
  <c r="I114" i="7"/>
  <c r="I107" i="7"/>
  <c r="I106" i="7"/>
  <c r="J104" i="7"/>
  <c r="J106" i="7" s="1"/>
  <c r="G104" i="7"/>
  <c r="J96" i="7"/>
  <c r="I96" i="7"/>
  <c r="J95" i="7"/>
  <c r="I95" i="7"/>
  <c r="K89" i="7"/>
  <c r="J89" i="7"/>
  <c r="I89" i="7"/>
  <c r="K88" i="7"/>
  <c r="J88" i="7"/>
  <c r="I88" i="7"/>
  <c r="K80" i="7"/>
  <c r="J80" i="7"/>
  <c r="I80" i="7"/>
  <c r="K79" i="7"/>
  <c r="J79" i="7"/>
  <c r="I79" i="7"/>
  <c r="K71" i="7"/>
  <c r="I71" i="7"/>
  <c r="K70" i="7"/>
  <c r="I70" i="7"/>
  <c r="J69" i="7"/>
  <c r="J68" i="7"/>
  <c r="J67" i="7"/>
  <c r="J70" i="7" s="1"/>
  <c r="J62" i="7"/>
  <c r="I62" i="7"/>
  <c r="J61" i="7"/>
  <c r="I61" i="7"/>
  <c r="K54" i="7"/>
  <c r="J54" i="7"/>
  <c r="I54" i="7"/>
  <c r="K53" i="7"/>
  <c r="J53" i="7"/>
  <c r="I53" i="7"/>
  <c r="G51" i="7"/>
  <c r="J46" i="7"/>
  <c r="I46" i="7"/>
  <c r="J45" i="7"/>
  <c r="I45" i="7"/>
  <c r="J39" i="7"/>
  <c r="I39" i="7"/>
  <c r="J38" i="7"/>
  <c r="I38" i="7"/>
  <c r="K32" i="7"/>
  <c r="J32" i="7"/>
  <c r="I32" i="7"/>
  <c r="K31" i="7"/>
  <c r="J31" i="7"/>
  <c r="I31" i="7"/>
  <c r="K25" i="7"/>
  <c r="J25" i="7"/>
  <c r="I25" i="7"/>
  <c r="K24" i="7"/>
  <c r="J24" i="7"/>
  <c r="I24" i="7"/>
  <c r="G21" i="7"/>
  <c r="J16" i="7"/>
  <c r="I16" i="7"/>
  <c r="J15" i="7"/>
  <c r="I15" i="7"/>
  <c r="M9" i="7"/>
  <c r="G154" i="7" s="1"/>
  <c r="G11" i="6"/>
  <c r="H42" i="6"/>
  <c r="H166" i="6"/>
  <c r="H165" i="6"/>
  <c r="H162" i="6"/>
  <c r="H163" i="6"/>
  <c r="H164" i="6"/>
  <c r="H161" i="6"/>
  <c r="H158" i="6"/>
  <c r="H157" i="6"/>
  <c r="H154" i="6"/>
  <c r="H155" i="6"/>
  <c r="H156" i="6"/>
  <c r="H153" i="6"/>
  <c r="H150" i="6"/>
  <c r="H149" i="6"/>
  <c r="H147" i="6"/>
  <c r="H148" i="6"/>
  <c r="H146" i="6"/>
  <c r="H143" i="6"/>
  <c r="H142" i="6"/>
  <c r="H140" i="6"/>
  <c r="H141" i="6"/>
  <c r="H139" i="6"/>
  <c r="H134" i="6"/>
  <c r="H133" i="6"/>
  <c r="H130" i="6"/>
  <c r="H131" i="6"/>
  <c r="H132" i="6"/>
  <c r="H129" i="6"/>
  <c r="H124" i="6"/>
  <c r="H123" i="6"/>
  <c r="H121" i="6"/>
  <c r="H122" i="6"/>
  <c r="H120" i="6"/>
  <c r="H115" i="6"/>
  <c r="H114" i="6"/>
  <c r="H113" i="6"/>
  <c r="H112" i="6"/>
  <c r="H107" i="6"/>
  <c r="H106" i="6"/>
  <c r="H100" i="6"/>
  <c r="H101" i="6"/>
  <c r="H102" i="6"/>
  <c r="H103" i="6"/>
  <c r="H104" i="6"/>
  <c r="H105" i="6"/>
  <c r="H99" i="6"/>
  <c r="H96" i="6"/>
  <c r="H95" i="6"/>
  <c r="H93" i="6"/>
  <c r="H94" i="6"/>
  <c r="H92" i="6"/>
  <c r="H46" i="6"/>
  <c r="H39" i="6"/>
  <c r="H32" i="6"/>
  <c r="H25" i="6"/>
  <c r="H80" i="6"/>
  <c r="H89" i="6"/>
  <c r="H88" i="6"/>
  <c r="H84" i="6"/>
  <c r="H85" i="6"/>
  <c r="H86" i="6"/>
  <c r="H87" i="6"/>
  <c r="H83" i="6"/>
  <c r="H71" i="6"/>
  <c r="H79" i="6"/>
  <c r="H77" i="6"/>
  <c r="H78" i="6"/>
  <c r="H76" i="6"/>
  <c r="H70" i="6"/>
  <c r="H68" i="6"/>
  <c r="H69" i="6"/>
  <c r="H67" i="6"/>
  <c r="H54" i="6"/>
  <c r="I165" i="6"/>
  <c r="I157" i="6"/>
  <c r="J157" i="6"/>
  <c r="K157" i="6"/>
  <c r="I149" i="6"/>
  <c r="J149" i="6"/>
  <c r="I142" i="6"/>
  <c r="J142" i="6"/>
  <c r="K142" i="6"/>
  <c r="I133" i="6"/>
  <c r="J133" i="6"/>
  <c r="I123" i="6"/>
  <c r="J123" i="6"/>
  <c r="K123" i="6"/>
  <c r="I114" i="6"/>
  <c r="J114" i="6"/>
  <c r="I106" i="6"/>
  <c r="I95" i="6"/>
  <c r="J95" i="6"/>
  <c r="I88" i="6"/>
  <c r="J88" i="6"/>
  <c r="K88" i="6"/>
  <c r="I79" i="6"/>
  <c r="J79" i="6"/>
  <c r="K79" i="6"/>
  <c r="I70" i="6"/>
  <c r="J70" i="6"/>
  <c r="K70" i="6"/>
  <c r="I61" i="6"/>
  <c r="J61" i="6"/>
  <c r="I53" i="6"/>
  <c r="J53" i="6"/>
  <c r="K53" i="6"/>
  <c r="I45" i="6"/>
  <c r="J45" i="6"/>
  <c r="I38" i="6"/>
  <c r="J38" i="6"/>
  <c r="I31" i="6"/>
  <c r="J31" i="6"/>
  <c r="K31" i="6"/>
  <c r="I24" i="6"/>
  <c r="J24" i="6"/>
  <c r="K24" i="6"/>
  <c r="J15" i="6"/>
  <c r="I15" i="6"/>
  <c r="I25" i="6"/>
  <c r="I166" i="6"/>
  <c r="J163" i="6"/>
  <c r="J166" i="6" s="1"/>
  <c r="K158" i="6"/>
  <c r="J158" i="6"/>
  <c r="I158" i="6"/>
  <c r="J150" i="6"/>
  <c r="I150" i="6"/>
  <c r="K143" i="6"/>
  <c r="J143" i="6"/>
  <c r="I143" i="6"/>
  <c r="I134" i="6"/>
  <c r="J129" i="6"/>
  <c r="J134" i="6" s="1"/>
  <c r="K124" i="6"/>
  <c r="J124" i="6"/>
  <c r="I124" i="6"/>
  <c r="J115" i="6"/>
  <c r="I115" i="6"/>
  <c r="I107" i="6"/>
  <c r="J104" i="6"/>
  <c r="J107" i="6" s="1"/>
  <c r="J96" i="6"/>
  <c r="I96" i="6"/>
  <c r="K89" i="6"/>
  <c r="J89" i="6"/>
  <c r="I89" i="6"/>
  <c r="K80" i="6"/>
  <c r="J80" i="6"/>
  <c r="I80" i="6"/>
  <c r="K71" i="6"/>
  <c r="I71" i="6"/>
  <c r="J69" i="6"/>
  <c r="J68" i="6"/>
  <c r="J67" i="6"/>
  <c r="J62" i="6"/>
  <c r="I62" i="6"/>
  <c r="K54" i="6"/>
  <c r="J54" i="6"/>
  <c r="I54" i="6"/>
  <c r="J46" i="6"/>
  <c r="I46" i="6"/>
  <c r="J39" i="6"/>
  <c r="I39" i="6"/>
  <c r="K32" i="6"/>
  <c r="J32" i="6"/>
  <c r="I32" i="6"/>
  <c r="K25" i="6"/>
  <c r="J25" i="6"/>
  <c r="J16" i="6"/>
  <c r="I16" i="6"/>
  <c r="M9" i="6"/>
  <c r="G154" i="6" s="1"/>
  <c r="G14" i="7" l="1"/>
  <c r="G94" i="7"/>
  <c r="J107" i="7"/>
  <c r="G69" i="7"/>
  <c r="G29" i="7"/>
  <c r="G84" i="7"/>
  <c r="J166" i="7"/>
  <c r="J71" i="7"/>
  <c r="G20" i="7"/>
  <c r="G99" i="7"/>
  <c r="G106" i="7" s="1"/>
  <c r="H99" i="7" s="1"/>
  <c r="G76" i="7"/>
  <c r="G105" i="7"/>
  <c r="G22" i="7"/>
  <c r="G37" i="7"/>
  <c r="G67" i="7"/>
  <c r="G77" i="7"/>
  <c r="G121" i="7"/>
  <c r="G132" i="7"/>
  <c r="G131" i="7"/>
  <c r="G12" i="7"/>
  <c r="G43" i="7"/>
  <c r="G60" i="7"/>
  <c r="G87" i="7"/>
  <c r="G102" i="7"/>
  <c r="G140" i="7"/>
  <c r="G155" i="7"/>
  <c r="G164" i="7"/>
  <c r="J133" i="7"/>
  <c r="G23" i="7"/>
  <c r="G49" i="7"/>
  <c r="G78" i="7"/>
  <c r="G92" i="7"/>
  <c r="G122" i="7"/>
  <c r="G148" i="7"/>
  <c r="G28" i="7"/>
  <c r="G44" i="7"/>
  <c r="G68" i="7"/>
  <c r="G83" i="7"/>
  <c r="G103" i="7"/>
  <c r="G129" i="7"/>
  <c r="G141" i="7"/>
  <c r="G156" i="7"/>
  <c r="G13" i="7"/>
  <c r="G19" i="7"/>
  <c r="G50" i="7"/>
  <c r="G93" i="7"/>
  <c r="G146" i="7"/>
  <c r="G161" i="7"/>
  <c r="G162" i="7"/>
  <c r="G130" i="7"/>
  <c r="G147" i="7"/>
  <c r="G30" i="7"/>
  <c r="G85" i="7"/>
  <c r="G100" i="7"/>
  <c r="G112" i="7"/>
  <c r="G153" i="7"/>
  <c r="G36" i="7"/>
  <c r="G52" i="7"/>
  <c r="G120" i="7"/>
  <c r="G163" i="7"/>
  <c r="G11" i="7"/>
  <c r="G42" i="7"/>
  <c r="G59" i="7"/>
  <c r="G86" i="7"/>
  <c r="G101" i="7"/>
  <c r="G113" i="7"/>
  <c r="G139" i="7"/>
  <c r="J106" i="6"/>
  <c r="J165" i="6"/>
  <c r="J71" i="6"/>
  <c r="G36" i="6"/>
  <c r="G19" i="6"/>
  <c r="G122" i="6"/>
  <c r="G92" i="6"/>
  <c r="G95" i="6" s="1"/>
  <c r="G155" i="6"/>
  <c r="G42" i="6"/>
  <c r="G104" i="6"/>
  <c r="G141" i="6"/>
  <c r="G60" i="6"/>
  <c r="G14" i="6"/>
  <c r="G30" i="6"/>
  <c r="G93" i="6"/>
  <c r="G129" i="6"/>
  <c r="G49" i="6"/>
  <c r="G147" i="6"/>
  <c r="G50" i="6"/>
  <c r="G131" i="6"/>
  <c r="G51" i="6"/>
  <c r="G83" i="6"/>
  <c r="G88" i="6" s="1"/>
  <c r="G21" i="6"/>
  <c r="G52" i="6"/>
  <c r="G69" i="6"/>
  <c r="G84" i="6"/>
  <c r="G99" i="6"/>
  <c r="G164" i="6"/>
  <c r="G140" i="6"/>
  <c r="G156" i="6"/>
  <c r="G12" i="6"/>
  <c r="G43" i="6"/>
  <c r="G76" i="6"/>
  <c r="G28" i="6"/>
  <c r="G77" i="6"/>
  <c r="G78" i="6"/>
  <c r="G112" i="6"/>
  <c r="G114" i="6" s="1"/>
  <c r="G148" i="6"/>
  <c r="G22" i="6"/>
  <c r="G37" i="6"/>
  <c r="G85" i="6"/>
  <c r="G100" i="6"/>
  <c r="G44" i="6"/>
  <c r="G29" i="6"/>
  <c r="G146" i="6"/>
  <c r="G162" i="6"/>
  <c r="G163" i="6"/>
  <c r="G132" i="6"/>
  <c r="G23" i="6"/>
  <c r="G86" i="6"/>
  <c r="G101" i="6"/>
  <c r="G120" i="6"/>
  <c r="G153" i="6"/>
  <c r="G103" i="6"/>
  <c r="G59" i="6"/>
  <c r="G13" i="6"/>
  <c r="G105" i="6"/>
  <c r="G67" i="6"/>
  <c r="G94" i="6"/>
  <c r="G161" i="6"/>
  <c r="G130" i="6"/>
  <c r="G68" i="6"/>
  <c r="G113" i="6"/>
  <c r="G20" i="6"/>
  <c r="G87" i="6"/>
  <c r="G102" i="6"/>
  <c r="G121" i="6"/>
  <c r="G139" i="6"/>
  <c r="G142" i="6" s="1"/>
  <c r="G88" i="7" l="1"/>
  <c r="H84" i="7" s="1"/>
  <c r="H44" i="7"/>
  <c r="H113" i="7"/>
  <c r="H93" i="7"/>
  <c r="G165" i="7"/>
  <c r="H161" i="7" s="1"/>
  <c r="H155" i="7"/>
  <c r="G31" i="7"/>
  <c r="H29" i="7" s="1"/>
  <c r="H28" i="7"/>
  <c r="H100" i="7"/>
  <c r="G114" i="7"/>
  <c r="H112" i="7" s="1"/>
  <c r="G24" i="7"/>
  <c r="H19" i="7" s="1"/>
  <c r="H102" i="7"/>
  <c r="H104" i="7"/>
  <c r="H85" i="7"/>
  <c r="H37" i="7"/>
  <c r="G95" i="7"/>
  <c r="H94" i="7" s="1"/>
  <c r="G15" i="7"/>
  <c r="H14" i="7" s="1"/>
  <c r="H11" i="7"/>
  <c r="H105" i="7"/>
  <c r="G53" i="7"/>
  <c r="H51" i="7" s="1"/>
  <c r="G79" i="7"/>
  <c r="H77" i="7" s="1"/>
  <c r="H132" i="7"/>
  <c r="G142" i="7"/>
  <c r="H140" i="7" s="1"/>
  <c r="G38" i="7"/>
  <c r="H36" i="7" s="1"/>
  <c r="G149" i="7"/>
  <c r="H148" i="7" s="1"/>
  <c r="G157" i="7"/>
  <c r="H154" i="7" s="1"/>
  <c r="H153" i="7"/>
  <c r="H101" i="7"/>
  <c r="G70" i="7"/>
  <c r="H69" i="7" s="1"/>
  <c r="H67" i="7"/>
  <c r="G61" i="7"/>
  <c r="H60" i="7" s="1"/>
  <c r="H59" i="7"/>
  <c r="H13" i="7"/>
  <c r="G45" i="7"/>
  <c r="H42" i="7"/>
  <c r="H156" i="7"/>
  <c r="H43" i="7"/>
  <c r="G133" i="7"/>
  <c r="H131" i="7" s="1"/>
  <c r="G123" i="7"/>
  <c r="H120" i="7" s="1"/>
  <c r="H162" i="7"/>
  <c r="H103" i="7"/>
  <c r="H37" i="6"/>
  <c r="G61" i="6"/>
  <c r="H59" i="6" s="1"/>
  <c r="G157" i="6"/>
  <c r="H51" i="6"/>
  <c r="G123" i="6"/>
  <c r="G24" i="6"/>
  <c r="H23" i="6" s="1"/>
  <c r="H50" i="6"/>
  <c r="H36" i="6"/>
  <c r="H38" i="6" s="1"/>
  <c r="G38" i="6"/>
  <c r="G31" i="6"/>
  <c r="H28" i="6"/>
  <c r="G79" i="6"/>
  <c r="G53" i="6"/>
  <c r="H52" i="6" s="1"/>
  <c r="H49" i="6"/>
  <c r="H43" i="6"/>
  <c r="G133" i="6"/>
  <c r="H30" i="6"/>
  <c r="G149" i="6"/>
  <c r="G165" i="6"/>
  <c r="H29" i="6"/>
  <c r="H31" i="6" s="1"/>
  <c r="H60" i="6"/>
  <c r="G106" i="6"/>
  <c r="G70" i="6"/>
  <c r="G45" i="6"/>
  <c r="H44" i="6" s="1"/>
  <c r="G15" i="6"/>
  <c r="H12" i="6" s="1"/>
  <c r="H122" i="7" l="1"/>
  <c r="H163" i="7"/>
  <c r="H129" i="7"/>
  <c r="H130" i="7"/>
  <c r="H78" i="7"/>
  <c r="H164" i="7"/>
  <c r="H166" i="7" s="1"/>
  <c r="H23" i="7"/>
  <c r="H68" i="7"/>
  <c r="H71" i="7" s="1"/>
  <c r="H121" i="7"/>
  <c r="H124" i="7" s="1"/>
  <c r="H30" i="7"/>
  <c r="H32" i="7" s="1"/>
  <c r="H107" i="7"/>
  <c r="H39" i="7"/>
  <c r="H38" i="7"/>
  <c r="H134" i="7"/>
  <c r="H133" i="7"/>
  <c r="H115" i="7"/>
  <c r="H114" i="7"/>
  <c r="H49" i="7"/>
  <c r="H62" i="7"/>
  <c r="H61" i="7"/>
  <c r="H147" i="7"/>
  <c r="H50" i="7"/>
  <c r="H46" i="7"/>
  <c r="H45" i="7"/>
  <c r="H157" i="7"/>
  <c r="H158" i="7"/>
  <c r="H76" i="7"/>
  <c r="H86" i="7"/>
  <c r="H106" i="7"/>
  <c r="H146" i="7"/>
  <c r="H52" i="7"/>
  <c r="H141" i="7"/>
  <c r="H139" i="7"/>
  <c r="H20" i="7"/>
  <c r="H21" i="7"/>
  <c r="H22" i="7"/>
  <c r="H83" i="7"/>
  <c r="H87" i="7"/>
  <c r="H12" i="7"/>
  <c r="H15" i="7" s="1"/>
  <c r="H92" i="7"/>
  <c r="H62" i="6"/>
  <c r="H61" i="6"/>
  <c r="H14" i="6"/>
  <c r="H19" i="6"/>
  <c r="H21" i="6"/>
  <c r="H20" i="6"/>
  <c r="H22" i="6"/>
  <c r="H53" i="6"/>
  <c r="H45" i="6"/>
  <c r="H11" i="6"/>
  <c r="H13" i="6"/>
  <c r="D48" i="4"/>
  <c r="H31" i="7" l="1"/>
  <c r="H123" i="7"/>
  <c r="H165" i="7"/>
  <c r="H70" i="7"/>
  <c r="H25" i="7"/>
  <c r="H88" i="7"/>
  <c r="H89" i="7"/>
  <c r="H80" i="7"/>
  <c r="H79" i="7"/>
  <c r="H142" i="7"/>
  <c r="H143" i="7"/>
  <c r="H16" i="7"/>
  <c r="H54" i="7"/>
  <c r="H53" i="7"/>
  <c r="H24" i="7"/>
  <c r="H95" i="7"/>
  <c r="H96" i="7"/>
  <c r="H150" i="7"/>
  <c r="H149" i="7"/>
  <c r="H16" i="6"/>
  <c r="H24" i="6"/>
  <c r="H15" i="6"/>
  <c r="D52" i="4" l="1"/>
  <c r="D42" i="4"/>
  <c r="D47" i="4"/>
  <c r="F47" i="4"/>
  <c r="D45" i="4"/>
  <c r="D44" i="4"/>
  <c r="F44" i="4"/>
  <c r="D40" i="4"/>
  <c r="D38" i="4"/>
  <c r="D36" i="4"/>
  <c r="D29" i="4"/>
  <c r="D28" i="4"/>
  <c r="F28" i="4"/>
  <c r="D32" i="4"/>
  <c r="D31" i="4"/>
  <c r="F31" i="4"/>
  <c r="D20" i="4"/>
  <c r="D19" i="4"/>
  <c r="D18" i="4"/>
  <c r="D17" i="4"/>
  <c r="F17" i="4"/>
  <c r="D26" i="4"/>
  <c r="D25" i="4"/>
  <c r="D24" i="4"/>
  <c r="D23" i="4"/>
  <c r="D22" i="4"/>
  <c r="F22" i="4"/>
  <c r="D15" i="4"/>
  <c r="D14" i="4"/>
  <c r="D13" i="4"/>
  <c r="D12" i="4"/>
  <c r="F12" i="4"/>
</calcChain>
</file>

<file path=xl/sharedStrings.xml><?xml version="1.0" encoding="utf-8"?>
<sst xmlns="http://schemas.openxmlformats.org/spreadsheetml/2006/main" count="1461" uniqueCount="433">
  <si>
    <t>Info regarding runs</t>
  </si>
  <si>
    <t>Location of runs</t>
  </si>
  <si>
    <t>Just inhibitor</t>
  </si>
  <si>
    <t>/home/schowdhury/cof_tpl/pH7_4/no_neutral_ARG/run_cof</t>
  </si>
  <si>
    <t xml:space="preserve"> Protein bound to inhibitor </t>
  </si>
  <si>
    <t>/home/schowdhury/cof_tpl/pH7_4/no_neutral_ARG/run_kin_holo</t>
  </si>
  <si>
    <t>Protein without inhbitor</t>
  </si>
  <si>
    <t>/home/schowdhury/cof_tpl/pH7_4/no_neutral_ARG/run_kin_apo</t>
  </si>
  <si>
    <t>Capped Protein bound to inhibitor</t>
  </si>
  <si>
    <t>/home/schowdhury/cof_tpl/pH7_4/no_neutral_ARG/run_capped_holo</t>
  </si>
  <si>
    <t>Capped protein without inhibitor</t>
  </si>
  <si>
    <t>/home/schowdhury/cof_tpl/pH7_4/no_neutral_ARG/run_capped_apo</t>
  </si>
  <si>
    <t>All_Sum_Crg Data</t>
  </si>
  <si>
    <t>Holo Protein</t>
  </si>
  <si>
    <t>/home/schowdhury/cof_tpl/pH7_4/no_neutral_ARG/run_kin/run_kin_sum_crg.out</t>
  </si>
  <si>
    <t>Apo Protein</t>
  </si>
  <si>
    <t>/home/schowdhury/cof_tpl/pH7_4/no_neutral_ARG/run_apo/run_apo_sum_crg.out</t>
  </si>
  <si>
    <t>Kinase type</t>
  </si>
  <si>
    <t>ProtPDB</t>
  </si>
  <si>
    <t>1st res</t>
  </si>
  <si>
    <t>lst res</t>
  </si>
  <si>
    <t>cap 1st</t>
  </si>
  <si>
    <t>cap lst</t>
  </si>
  <si>
    <t>ABL</t>
  </si>
  <si>
    <t>3UE4</t>
  </si>
  <si>
    <t>2HYY</t>
  </si>
  <si>
    <t>3PYY</t>
  </si>
  <si>
    <t>3CS9</t>
  </si>
  <si>
    <t>5MO4</t>
  </si>
  <si>
    <t>ALK</t>
  </si>
  <si>
    <t>3AOX</t>
  </si>
  <si>
    <t>4MKC</t>
  </si>
  <si>
    <t>2XP2</t>
  </si>
  <si>
    <t>2YFX</t>
  </si>
  <si>
    <t>CDK6</t>
  </si>
  <si>
    <t>5L2I</t>
  </si>
  <si>
    <t>DDR1</t>
  </si>
  <si>
    <t>3ZOS (buried)</t>
  </si>
  <si>
    <t>3ZOS (surface)</t>
  </si>
  <si>
    <t>EGFR</t>
  </si>
  <si>
    <t>4G5J</t>
  </si>
  <si>
    <t>4G5P</t>
  </si>
  <si>
    <t>2ITO</t>
  </si>
  <si>
    <t>2ITY</t>
  </si>
  <si>
    <t>1XKK</t>
  </si>
  <si>
    <t>4ZAU</t>
  </si>
  <si>
    <t>JAK3</t>
  </si>
  <si>
    <t>3LXK</t>
  </si>
  <si>
    <t>MEK</t>
  </si>
  <si>
    <t>4AN2</t>
  </si>
  <si>
    <t>4LMN</t>
  </si>
  <si>
    <t>MET</t>
  </si>
  <si>
    <t>2WGJ</t>
  </si>
  <si>
    <t>VEGFR</t>
  </si>
  <si>
    <t>4AG8</t>
  </si>
  <si>
    <t>4AGC</t>
  </si>
  <si>
    <t>3WZD</t>
  </si>
  <si>
    <t>3WZE</t>
  </si>
  <si>
    <t>4ASD</t>
  </si>
  <si>
    <t>4AGD</t>
  </si>
  <si>
    <t>Saqib: Check table</t>
  </si>
  <si>
    <t>Is kinase ∆crg right (only protein charges considered as done for table 1)</t>
  </si>
  <si>
    <t>It is copied over correctly from the other excel sheet</t>
  </si>
  <si>
    <t>Finish bringing over data for raw kinase</t>
  </si>
  <si>
    <t>Done</t>
  </si>
  <si>
    <t>Were chains run in 1 run or in separate runs?</t>
  </si>
  <si>
    <t>They were run in 1 submit.mcce4 run, but they are separate pdb files</t>
  </si>
  <si>
    <t xml:space="preserve">Is ∆crg calc in the same way for </t>
  </si>
  <si>
    <t xml:space="preserve"> raw and capped pdb files - they are in poor agreement</t>
  </si>
  <si>
    <t>Capped Kinase</t>
  </si>
  <si>
    <t>Raw Kinase</t>
  </si>
  <si>
    <t>Kinase</t>
  </si>
  <si>
    <t xml:space="preserve">Ligand </t>
  </si>
  <si>
    <t>Holo</t>
  </si>
  <si>
    <t>Apo</t>
  </si>
  <si>
    <t>∆crg</t>
  </si>
  <si>
    <t>Bound</t>
  </si>
  <si>
    <t>Std</t>
  </si>
  <si>
    <t>Capped PDB</t>
  </si>
  <si>
    <t>Ligand</t>
  </si>
  <si>
    <t>Abl: ABL Tyrosine protein kinase</t>
  </si>
  <si>
    <t>2HYY: Imatinib (STI)</t>
  </si>
  <si>
    <t>A</t>
  </si>
  <si>
    <t>2HYY_CHAINA</t>
  </si>
  <si>
    <t>STI+A0600_</t>
  </si>
  <si>
    <t>B</t>
  </si>
  <si>
    <t>2HYY_CHAINB</t>
  </si>
  <si>
    <t>C</t>
  </si>
  <si>
    <t>2HYY_CHAINC</t>
  </si>
  <si>
    <t>D</t>
  </si>
  <si>
    <t>2HYY_CHAIND</t>
  </si>
  <si>
    <t>3PYY: Imatinib (STI)</t>
  </si>
  <si>
    <t>A/a</t>
  </si>
  <si>
    <t>3PYY_CHAINA_ALTLOCA</t>
  </si>
  <si>
    <t>STI+A0003_</t>
  </si>
  <si>
    <t>A/b</t>
  </si>
  <si>
    <t>3PYY_CHAINA_ALTLOCB</t>
  </si>
  <si>
    <t>B/a</t>
  </si>
  <si>
    <t>3PYY_CHAINB_ALTLOCA</t>
  </si>
  <si>
    <t>B/b</t>
  </si>
  <si>
    <t>3PYY_CHAINB_ALTLOCB</t>
  </si>
  <si>
    <t>3CS9: Nilotnib (NIL)</t>
  </si>
  <si>
    <t>3CS9_CHAINA</t>
  </si>
  <si>
    <t>NIL+A0600_</t>
  </si>
  <si>
    <t>3CS9_CHAINB_ALTLOCA</t>
  </si>
  <si>
    <t>3CS9_CHAINB_ALTLOCB</t>
  </si>
  <si>
    <t>3CS9_CHAINC</t>
  </si>
  <si>
    <t>3CS9_CHAIND</t>
  </si>
  <si>
    <t>5MO4:Nilotinib (NIL)</t>
  </si>
  <si>
    <t>the + 1 cis 1.4 kcal higher</t>
  </si>
  <si>
    <t>5MO4_CHAINA_ALTLOCA</t>
  </si>
  <si>
    <t>NIL+A0601_</t>
  </si>
  <si>
    <t>here se more H loss in prot and H gain in lig</t>
  </si>
  <si>
    <t>5MO4_CHAINA_ALTLOCB</t>
  </si>
  <si>
    <t>3UE4: Bosutinib (DBB)</t>
  </si>
  <si>
    <t>3UE4_CHAINA</t>
  </si>
  <si>
    <t>DB8+A0601_</t>
  </si>
  <si>
    <t>3UE4_CHAINB</t>
  </si>
  <si>
    <t>EGFR, epidermal growth factor receptor kinase</t>
  </si>
  <si>
    <t>1XKK: Lapatinib (FMM)</t>
  </si>
  <si>
    <t>N/A</t>
  </si>
  <si>
    <t>1XKK_CHAINA</t>
  </si>
  <si>
    <t>FMM+A0091_</t>
  </si>
  <si>
    <t>2ITO: Getitinib (IRE)</t>
  </si>
  <si>
    <t>2ITO_CHAINA</t>
  </si>
  <si>
    <t>IRE+A2020_</t>
  </si>
  <si>
    <t>2ITY: Gefitinib (IRE)</t>
  </si>
  <si>
    <t>2ITY_CHAINA</t>
  </si>
  <si>
    <t>4ZAU: Osimartinib (YY3)</t>
  </si>
  <si>
    <t>4ZAU_CHAINA</t>
  </si>
  <si>
    <t>YY3+A1101_</t>
  </si>
  <si>
    <t>4G5J: Afatinib (OWN)</t>
  </si>
  <si>
    <t>4G5J_CHAINA_ALTLOCA</t>
  </si>
  <si>
    <t>0WN+A1101_</t>
  </si>
  <si>
    <t>4G5J_CHAINA_ALTLOCB</t>
  </si>
  <si>
    <t>4G5P: Afatinib (OWN)</t>
  </si>
  <si>
    <t>4G5P_CHAINA</t>
  </si>
  <si>
    <t>4G5P_CHAINB</t>
  </si>
  <si>
    <t>MET: Tyr Protein Kinase</t>
  </si>
  <si>
    <t>2WGJ: Crizotinib (VGH)</t>
  </si>
  <si>
    <t>2WGJ_CHAINA</t>
  </si>
  <si>
    <t>VGH+A2346_</t>
  </si>
  <si>
    <t>Saquib: In column D can you put the labels you are using in the names in the Conf_data_with_svg names</t>
  </si>
  <si>
    <t xml:space="preserve">The Stat mech and P(i) should be closer.  </t>
  </si>
  <si>
    <t>MCCE</t>
  </si>
  <si>
    <t xml:space="preserve">Conf </t>
  </si>
  <si>
    <t>RT</t>
  </si>
  <si>
    <t>Name</t>
  </si>
  <si>
    <t>kcal/mol</t>
  </si>
  <si>
    <t>protonated atoms</t>
  </si>
  <si>
    <t>Bosutinib</t>
  </si>
  <si>
    <t>charge</t>
  </si>
  <si>
    <t>energy</t>
  </si>
  <si>
    <t>Boltzmann Factor</t>
  </si>
  <si>
    <t>Stat Mech</t>
  </si>
  <si>
    <t>P(i) soln</t>
  </si>
  <si>
    <t>DB8+1a</t>
  </si>
  <si>
    <t>NAU, NBI</t>
  </si>
  <si>
    <t>DBB+1a</t>
  </si>
  <si>
    <t>DB8+1</t>
  </si>
  <si>
    <t>DB8+1b</t>
  </si>
  <si>
    <t>NAU, NBH</t>
  </si>
  <si>
    <t>DBB+1b</t>
  </si>
  <si>
    <t>DB8+2</t>
  </si>
  <si>
    <t>DB8 0a</t>
  </si>
  <si>
    <t>NAU</t>
  </si>
  <si>
    <t>DBB0a</t>
  </si>
  <si>
    <t>DB801</t>
  </si>
  <si>
    <t>DB8 0b</t>
  </si>
  <si>
    <t>NBI</t>
  </si>
  <si>
    <t>DBB0b</t>
  </si>
  <si>
    <t>DB802</t>
  </si>
  <si>
    <t>SUM</t>
  </si>
  <si>
    <t xml:space="preserve"> ensemble charge</t>
  </si>
  <si>
    <t>Imatinib</t>
  </si>
  <si>
    <t>STI+1a</t>
  </si>
  <si>
    <t>N13, N21, N48</t>
  </si>
  <si>
    <t>STI+1</t>
  </si>
  <si>
    <t>STI+1b</t>
  </si>
  <si>
    <t>N13, N21, N51</t>
  </si>
  <si>
    <t>STI+2</t>
  </si>
  <si>
    <t>STI 0</t>
  </si>
  <si>
    <t>N13, N21</t>
  </si>
  <si>
    <t>STI01</t>
  </si>
  <si>
    <t>STI+2a</t>
  </si>
  <si>
    <t>N13, N21, N49, N3</t>
  </si>
  <si>
    <t>STI+a</t>
  </si>
  <si>
    <t>STI+2b</t>
  </si>
  <si>
    <t>N13, N21, N51, N3</t>
  </si>
  <si>
    <t>STI+b</t>
  </si>
  <si>
    <t>Nilotinib</t>
  </si>
  <si>
    <t>NIL 0</t>
  </si>
  <si>
    <t>N14, N31</t>
  </si>
  <si>
    <t>NIL01</t>
  </si>
  <si>
    <t>NIL+1a</t>
  </si>
  <si>
    <t>N14, N31, N54</t>
  </si>
  <si>
    <t>NIL+1</t>
  </si>
  <si>
    <t>NIL+1b</t>
  </si>
  <si>
    <t>N14, N31, N44</t>
  </si>
  <si>
    <t>NIL+2</t>
  </si>
  <si>
    <t>ALK: Anaplastic lymphoma kinase</t>
  </si>
  <si>
    <t>Alectinib</t>
  </si>
  <si>
    <t>EMH+1</t>
  </si>
  <si>
    <t>N31</t>
  </si>
  <si>
    <t>EMH 0</t>
  </si>
  <si>
    <t>-</t>
  </si>
  <si>
    <t>EMH01</t>
  </si>
  <si>
    <t>Ceritinib</t>
  </si>
  <si>
    <t>4MK+1</t>
  </si>
  <si>
    <t>N11(2), N18, N25</t>
  </si>
  <si>
    <t>4MK 0</t>
  </si>
  <si>
    <t>N11, N18, N25</t>
  </si>
  <si>
    <t>4MK01</t>
  </si>
  <si>
    <t>4MK+2</t>
  </si>
  <si>
    <t>N11(2), N18, N20, N25</t>
  </si>
  <si>
    <t>4MK+a</t>
  </si>
  <si>
    <t>Crizotinib</t>
  </si>
  <si>
    <t>VGH+2</t>
  </si>
  <si>
    <t>N22(2), N25(2), N23</t>
  </si>
  <si>
    <t>VGH+a</t>
  </si>
  <si>
    <t>VGH+1a</t>
  </si>
  <si>
    <t xml:space="preserve">N22(2), N25(2) </t>
  </si>
  <si>
    <t>VGH+1</t>
  </si>
  <si>
    <t>VGH 0</t>
  </si>
  <si>
    <t>N22(2), N25</t>
  </si>
  <si>
    <t>VGH01</t>
  </si>
  <si>
    <t>VGH+1b</t>
  </si>
  <si>
    <t>N22(2), N25, N23</t>
  </si>
  <si>
    <t>CDK6: Cyclin dependent Kinase 6</t>
  </si>
  <si>
    <t>Palbociclib</t>
  </si>
  <si>
    <t>LQQ+1</t>
  </si>
  <si>
    <t>N4, N7</t>
  </si>
  <si>
    <t>LQQ 0</t>
  </si>
  <si>
    <t>N4, N7(2)</t>
  </si>
  <si>
    <t>LQQ01</t>
  </si>
  <si>
    <t>DDR1: Discoidin domain receptor tyrosine kinase</t>
  </si>
  <si>
    <t>Ponatinib</t>
  </si>
  <si>
    <t xml:space="preserve">3ZOS </t>
  </si>
  <si>
    <t>0LI+1</t>
  </si>
  <si>
    <t>N2, N3</t>
  </si>
  <si>
    <t>0LI+2</t>
  </si>
  <si>
    <t>N2, N4</t>
  </si>
  <si>
    <t>0LI 0</t>
  </si>
  <si>
    <t>N2</t>
  </si>
  <si>
    <t>0LI01</t>
  </si>
  <si>
    <t>EGFR, epidermal growth factor receptor kinase.</t>
  </si>
  <si>
    <t>Afatinib</t>
  </si>
  <si>
    <t>0WN+1</t>
  </si>
  <si>
    <t>N11, N26, N32</t>
  </si>
  <si>
    <t>0WN 0</t>
  </si>
  <si>
    <t>N11, N26</t>
  </si>
  <si>
    <t>0WN01</t>
  </si>
  <si>
    <t>0WN+2</t>
  </si>
  <si>
    <t>N11, N26, N32, N3</t>
  </si>
  <si>
    <t>0WN+a</t>
  </si>
  <si>
    <t>Gefitinib</t>
  </si>
  <si>
    <t>IRE 0</t>
  </si>
  <si>
    <t>NAS</t>
  </si>
  <si>
    <t>IRE01</t>
  </si>
  <si>
    <t>IRE+1a</t>
  </si>
  <si>
    <t>NAS, NBE</t>
  </si>
  <si>
    <t>IRE+1</t>
  </si>
  <si>
    <t>IRE+1b</t>
  </si>
  <si>
    <t>NAS, N3</t>
  </si>
  <si>
    <t>IRE+2</t>
  </si>
  <si>
    <t>real proble sinc ehtey have the same proton but different energies</t>
  </si>
  <si>
    <t>IRE+1c</t>
  </si>
  <si>
    <t>IRE+3</t>
  </si>
  <si>
    <t>delete IRC+3 (+1c)</t>
  </si>
  <si>
    <t>NAS, N3, NBE</t>
  </si>
  <si>
    <t>IRE+a</t>
  </si>
  <si>
    <t>Lapatinib</t>
  </si>
  <si>
    <t>FMM+1</t>
  </si>
  <si>
    <t>N7(2), N22</t>
  </si>
  <si>
    <t>FMM 0</t>
  </si>
  <si>
    <t>N7, N22</t>
  </si>
  <si>
    <t>FMM01</t>
  </si>
  <si>
    <t>FMM+2</t>
  </si>
  <si>
    <t>N7(2), N22, N18</t>
  </si>
  <si>
    <t>FMM+a</t>
  </si>
  <si>
    <t>Osimertinib</t>
  </si>
  <si>
    <t>YY3+1a</t>
  </si>
  <si>
    <t>N, N2, N3</t>
  </si>
  <si>
    <t>YY3+1</t>
  </si>
  <si>
    <t>YY3 0</t>
  </si>
  <si>
    <t>N, N3</t>
  </si>
  <si>
    <t>YY301</t>
  </si>
  <si>
    <t>YY3+1b</t>
  </si>
  <si>
    <t>N, N1, N3</t>
  </si>
  <si>
    <t>YY3+2</t>
  </si>
  <si>
    <t>YY3+1c</t>
  </si>
  <si>
    <t>O, N2, N3</t>
  </si>
  <si>
    <t>YY3+3</t>
  </si>
  <si>
    <t>YY3+1d</t>
  </si>
  <si>
    <t>O, N1, N3</t>
  </si>
  <si>
    <t>YY3+4</t>
  </si>
  <si>
    <t>YY3+2a</t>
  </si>
  <si>
    <t>O, N, N2, N3</t>
  </si>
  <si>
    <t>YY3+a</t>
  </si>
  <si>
    <t>YY3+2b</t>
  </si>
  <si>
    <t>N, N1, N2, N3</t>
  </si>
  <si>
    <t>YY3+b</t>
  </si>
  <si>
    <t>JAK3:Janus Kinase 3</t>
  </si>
  <si>
    <t>Tofacitinib</t>
  </si>
  <si>
    <t>MI1 0</t>
  </si>
  <si>
    <t>N12</t>
  </si>
  <si>
    <t>MI101</t>
  </si>
  <si>
    <t>MI1+1</t>
  </si>
  <si>
    <t>N12, N19</t>
  </si>
  <si>
    <t>MEK: Mitogen-activated protein kinase</t>
  </si>
  <si>
    <t>Cobimetinib</t>
  </si>
  <si>
    <t>EUI+1</t>
  </si>
  <si>
    <t>O24, N9, N26(2)</t>
  </si>
  <si>
    <t>EUI 0a</t>
  </si>
  <si>
    <t>O24, N9, N26</t>
  </si>
  <si>
    <t>EUI01</t>
  </si>
  <si>
    <t>EUI 0b</t>
  </si>
  <si>
    <t>N9, N26(2)</t>
  </si>
  <si>
    <t>EUI02</t>
  </si>
  <si>
    <t>VGFR:Vascular Endothelial Groth Factor Receptor Kinase</t>
  </si>
  <si>
    <t>Axitinib</t>
  </si>
  <si>
    <t>AXI 0a</t>
  </si>
  <si>
    <t>N82, N15</t>
  </si>
  <si>
    <t>AXI01</t>
  </si>
  <si>
    <t>AXI 0b</t>
  </si>
  <si>
    <t>N82, N14</t>
  </si>
  <si>
    <t>AXI02</t>
  </si>
  <si>
    <t>AXI+1</t>
  </si>
  <si>
    <t>N3, N15, N82</t>
  </si>
  <si>
    <t>Lenvatinib</t>
  </si>
  <si>
    <t>LEV 0</t>
  </si>
  <si>
    <t>N15(2), N23, N26</t>
  </si>
  <si>
    <t>H8 H9</t>
  </si>
  <si>
    <t>LEV01</t>
  </si>
  <si>
    <t>LEV-1a</t>
  </si>
  <si>
    <t>N15, N23, N26</t>
  </si>
  <si>
    <t>H9</t>
  </si>
  <si>
    <t>LEV-1</t>
  </si>
  <si>
    <t>delete H9 for N15</t>
  </si>
  <si>
    <t>LEV-1b</t>
  </si>
  <si>
    <t>H8</t>
  </si>
  <si>
    <t>LEV-2</t>
  </si>
  <si>
    <t>delete this it'as a duplicate</t>
  </si>
  <si>
    <t>Sorafenib</t>
  </si>
  <si>
    <t>BAX 0a</t>
  </si>
  <si>
    <t>N12, N14, N30</t>
  </si>
  <si>
    <t>BAX01</t>
  </si>
  <si>
    <t>BAX+1</t>
  </si>
  <si>
    <t>N12, N14, N26, N30</t>
  </si>
  <si>
    <t>BAX 0b</t>
  </si>
  <si>
    <t>N12, N14, N26</t>
  </si>
  <si>
    <t>BAX02</t>
  </si>
  <si>
    <t>BAX-1</t>
  </si>
  <si>
    <t>N12, N14</t>
  </si>
  <si>
    <t>Sunitinib</t>
  </si>
  <si>
    <t>B49+1</t>
  </si>
  <si>
    <t>N4, N23, N24, N25</t>
  </si>
  <si>
    <t>B49 0a</t>
  </si>
  <si>
    <t>N23, N24, N25</t>
  </si>
  <si>
    <t>B4901</t>
  </si>
  <si>
    <t>B49 0b</t>
  </si>
  <si>
    <t>N4, N23, N24</t>
  </si>
  <si>
    <t>B4902</t>
  </si>
  <si>
    <t>B49 0c</t>
  </si>
  <si>
    <t>N4, N23, N25</t>
  </si>
  <si>
    <t>B4903</t>
  </si>
  <si>
    <t>Suqit: Can you check that the Holo-Apo ∆crg is + (e.g. 3XP2). As the ligand is positive we expect the protein to loose H+</t>
  </si>
  <si>
    <t xml:space="preserve">Table 1: </t>
  </si>
  <si>
    <t>Apo-kinase</t>
  </si>
  <si>
    <t>Holo-Apo</t>
  </si>
  <si>
    <t>PDB</t>
  </si>
  <si>
    <t>Kinase conformation</t>
  </si>
  <si>
    <t>PDBID</t>
  </si>
  <si>
    <t>#conf</t>
  </si>
  <si>
    <t>crg soln</t>
  </si>
  <si>
    <t>crg bound</t>
  </si>
  <si>
    <t>∆Taut</t>
  </si>
  <si>
    <t>DFG</t>
  </si>
  <si>
    <t>Yes</t>
  </si>
  <si>
    <t>In</t>
  </si>
  <si>
    <t>DFG-in (active)</t>
  </si>
  <si>
    <t>Out</t>
  </si>
  <si>
    <t>DFG-out (inactive)</t>
  </si>
  <si>
    <t>No</t>
  </si>
  <si>
    <t>JAK3: Janus Kinase 3</t>
  </si>
  <si>
    <t>VEGFR: Vascular Endothelial Groth Factor Receptor Kinase</t>
  </si>
  <si>
    <t>ABL: ABL Tyrosine protein kinase</t>
  </si>
  <si>
    <t>3UG2</t>
  </si>
  <si>
    <t>2EUF</t>
  </si>
  <si>
    <t>2ITZ</t>
  </si>
  <si>
    <t>4I22</t>
  </si>
  <si>
    <t>4WKQ</t>
  </si>
  <si>
    <t>4ANS</t>
  </si>
  <si>
    <t>4ANQ</t>
  </si>
  <si>
    <t>5AAA</t>
  </si>
  <si>
    <t>5AAB</t>
  </si>
  <si>
    <t>Holo-kinase</t>
  </si>
  <si>
    <t>3UE4/xts_sum_crg.out:Net_Charge</t>
  </si>
  <si>
    <t>2HYY/xts_sum_crg.out:Net_Charge</t>
  </si>
  <si>
    <t>3PYY/xts_sum_crg.out:Net_Charge</t>
  </si>
  <si>
    <t>3CS9/xts_sum_crg.out:Net_Charge</t>
  </si>
  <si>
    <t>5MO4/xts_sum_crg.out:Net_Charge</t>
  </si>
  <si>
    <t>3AOX/xts_sum_crg.out:Net_Charge</t>
  </si>
  <si>
    <t>4MKC/xts_sum_crg.out:Net_Charge</t>
  </si>
  <si>
    <t>2XP2/xts_sum_crg.out:Net_Charge</t>
  </si>
  <si>
    <t>2YFX/xts_sum_crg.out:Net_Charge</t>
  </si>
  <si>
    <t>4ANQ/xts_sum_crg.out:Net_Charge</t>
  </si>
  <si>
    <t>4ANS/xts_sum_crg.out:Net_Charge</t>
  </si>
  <si>
    <t>5AAA/xts_sum_crg.out:Net_Charge</t>
  </si>
  <si>
    <t>5AAB/xts_sum_crg.out:Net_Charge</t>
  </si>
  <si>
    <t>2EUF/xts_sum_crg.out:Net_Charge</t>
  </si>
  <si>
    <t>5L2I/xts_sum_crg.out:Net_Charge</t>
  </si>
  <si>
    <t>3ZOS/xts_sum_crg.out:Net_Charge</t>
  </si>
  <si>
    <t>4G5J/xts_sum_crg.out:Net_Charge</t>
  </si>
  <si>
    <t>4G5P/xts_sum_crg.out:Net_Charge</t>
  </si>
  <si>
    <t>2ITO/xts_sum_crg.out:Net_Charge</t>
  </si>
  <si>
    <t>2ITY/xts_sum_crg.out:Net_Charge</t>
  </si>
  <si>
    <t>2ITZ/xts_sum_crg.out:Net_Charge</t>
  </si>
  <si>
    <t>3UG2/xts_sum_crg.out:Net_Charge</t>
  </si>
  <si>
    <t>4I22/xts_sum_crg.out:Net_Charge</t>
  </si>
  <si>
    <t>4WKQ/xts_sum_crg.out:Net_Charge</t>
  </si>
  <si>
    <t>1XKK/xts_sum_crg.out:Net_Charge</t>
  </si>
  <si>
    <t>4ZAU/xts_sum_crg.out:Net_Charge</t>
  </si>
  <si>
    <t>3LXK/xts_sum_crg.out:Net_Charge</t>
  </si>
  <si>
    <t>4AN2/xts_sum_crg.out:Net_Charge</t>
  </si>
  <si>
    <t>4LMN/xts_sum_crg.out:Net_Charge</t>
  </si>
  <si>
    <t>2WGJ/xts_sum_crg.out:Net_Charge</t>
  </si>
  <si>
    <t>4AG8/xts_sum_crg.out:Net_Charge</t>
  </si>
  <si>
    <t>4AGC/xts_sum_crg.out:Net_Charge</t>
  </si>
  <si>
    <t>3WZD/xts_sum_crg.out:Net_Charge</t>
  </si>
  <si>
    <t>3WZE/xts_sum_crg.out:Net_Charge</t>
  </si>
  <si>
    <t>4ASD/xts_sum_crg.out:Net_Charge</t>
  </si>
  <si>
    <t>4AGD/xts_sum_crg.out:Net_Charge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</si>
</sst>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#,##0.0"/>
  </numFmts>
  <fonts count="2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u/>
      <sz val="12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i/>
      <sz val="12"/>
      <color rgb="FF000000"/>
      <name val="Arial"/>
      <family val="2"/>
    </font>
    <font>
      <i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i/>
      <sz val="12"/>
      <name val="Arial"/>
      <family val="2"/>
    </font>
    <font>
      <b/>
      <u/>
      <sz val="12"/>
      <color theme="1"/>
      <name val="Arial"/>
      <family val="2"/>
    </font>
    <font>
      <b/>
      <u/>
      <sz val="12"/>
      <color rgb="FF000000"/>
      <name val="Arial"/>
      <family val="2"/>
    </font>
    <font>
      <b/>
      <u/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color rgb="FF000000"/>
      <name val="Arial"/>
      <family val="2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304">
    <xf numFmtId="0" fontId="0" fillId="0" borderId="0" xfId="0"/>
    <xf numFmtId="0" fontId="2" fillId="0" borderId="0" xfId="0" applyFont="1"/>
    <xf numFmtId="4" fontId="3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4" fontId="6" fillId="0" borderId="3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4" fontId="6" fillId="0" borderId="4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left"/>
    </xf>
    <xf numFmtId="164" fontId="6" fillId="0" borderId="4" xfId="0" applyNumberFormat="1" applyFont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9" fillId="2" borderId="4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2" fontId="9" fillId="0" borderId="0" xfId="1" applyNumberFormat="1" applyFont="1" applyAlignment="1">
      <alignment horizontal="center" vertical="center"/>
    </xf>
    <xf numFmtId="2" fontId="9" fillId="0" borderId="9" xfId="1" applyNumberFormat="1" applyFont="1" applyBorder="1" applyAlignment="1">
      <alignment horizontal="center" vertical="center"/>
    </xf>
    <xf numFmtId="2" fontId="9" fillId="0" borderId="12" xfId="1" applyNumberFormat="1" applyFont="1" applyBorder="1" applyAlignment="1">
      <alignment horizontal="center" vertical="center"/>
    </xf>
    <xf numFmtId="2" fontId="9" fillId="0" borderId="16" xfId="1" applyNumberFormat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2" fontId="10" fillId="0" borderId="9" xfId="1" applyNumberFormat="1" applyFont="1" applyBorder="1" applyAlignment="1">
      <alignment horizontal="center" vertical="center"/>
    </xf>
    <xf numFmtId="2" fontId="10" fillId="0" borderId="12" xfId="1" applyNumberFormat="1" applyFont="1" applyBorder="1" applyAlignment="1">
      <alignment horizontal="center" vertical="center"/>
    </xf>
    <xf numFmtId="2" fontId="0" fillId="0" borderId="0" xfId="0" applyNumberFormat="1"/>
    <xf numFmtId="0" fontId="9" fillId="2" borderId="0" xfId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2" fontId="0" fillId="4" borderId="0" xfId="0" applyNumberFormat="1" applyFill="1" applyAlignment="1">
      <alignment horizontal="center" vertical="center"/>
    </xf>
    <xf numFmtId="164" fontId="9" fillId="0" borderId="0" xfId="0" applyNumberFormat="1" applyFont="1"/>
    <xf numFmtId="166" fontId="6" fillId="0" borderId="0" xfId="0" applyNumberFormat="1" applyFont="1"/>
    <xf numFmtId="16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0" fontId="0" fillId="4" borderId="0" xfId="0" applyFill="1" applyAlignment="1">
      <alignment horizontal="center" vertical="center"/>
    </xf>
    <xf numFmtId="4" fontId="9" fillId="0" borderId="0" xfId="0" applyNumberFormat="1" applyFont="1"/>
    <xf numFmtId="166" fontId="3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5" fontId="9" fillId="5" borderId="0" xfId="0" applyNumberFormat="1" applyFont="1" applyFill="1" applyAlignment="1">
      <alignment horizontal="center" vertical="center"/>
    </xf>
    <xf numFmtId="164" fontId="9" fillId="0" borderId="3" xfId="0" applyNumberFormat="1" applyFont="1" applyBorder="1"/>
    <xf numFmtId="165" fontId="9" fillId="0" borderId="3" xfId="0" applyNumberFormat="1" applyFont="1" applyBorder="1" applyAlignment="1">
      <alignment horizontal="center" vertical="center"/>
    </xf>
    <xf numFmtId="165" fontId="9" fillId="5" borderId="3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165" fontId="6" fillId="5" borderId="0" xfId="0" applyNumberFormat="1" applyFont="1" applyFill="1" applyAlignment="1">
      <alignment horizontal="center" vertical="center"/>
    </xf>
    <xf numFmtId="165" fontId="6" fillId="5" borderId="0" xfId="0" applyNumberFormat="1" applyFont="1" applyFill="1" applyAlignment="1">
      <alignment horizontal="center"/>
    </xf>
    <xf numFmtId="165" fontId="6" fillId="5" borderId="3" xfId="0" applyNumberFormat="1" applyFont="1" applyFill="1" applyBorder="1" applyAlignment="1">
      <alignment horizontal="center"/>
    </xf>
    <xf numFmtId="165" fontId="9" fillId="5" borderId="0" xfId="0" applyNumberFormat="1" applyFont="1" applyFill="1" applyAlignment="1">
      <alignment horizontal="center"/>
    </xf>
    <xf numFmtId="165" fontId="9" fillId="5" borderId="3" xfId="0" applyNumberFormat="1" applyFont="1" applyFill="1" applyBorder="1" applyAlignment="1">
      <alignment horizontal="center"/>
    </xf>
    <xf numFmtId="165" fontId="6" fillId="0" borderId="0" xfId="0" applyNumberFormat="1" applyFont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5" borderId="3" xfId="0" applyNumberFormat="1" applyFont="1" applyFill="1" applyBorder="1" applyAlignment="1">
      <alignment horizontal="center" vertical="center"/>
    </xf>
    <xf numFmtId="4" fontId="9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/>
    </xf>
    <xf numFmtId="0" fontId="0" fillId="0" borderId="2" xfId="0" applyBorder="1"/>
    <xf numFmtId="4" fontId="6" fillId="0" borderId="2" xfId="0" applyNumberFormat="1" applyFont="1" applyBorder="1" applyAlignment="1">
      <alignment horizontal="left"/>
    </xf>
    <xf numFmtId="0" fontId="9" fillId="0" borderId="2" xfId="0" applyFont="1" applyBorder="1"/>
    <xf numFmtId="164" fontId="9" fillId="0" borderId="2" xfId="0" applyNumberFormat="1" applyFont="1" applyBorder="1"/>
    <xf numFmtId="166" fontId="6" fillId="0" borderId="2" xfId="0" applyNumberFormat="1" applyFont="1" applyBorder="1"/>
    <xf numFmtId="0" fontId="9" fillId="0" borderId="2" xfId="0" applyFont="1" applyBorder="1" applyAlignment="1">
      <alignment horizontal="center"/>
    </xf>
    <xf numFmtId="165" fontId="9" fillId="0" borderId="2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166" fontId="6" fillId="0" borderId="2" xfId="0" applyNumberFormat="1" applyFont="1" applyBorder="1" applyAlignment="1">
      <alignment horizontal="center"/>
    </xf>
    <xf numFmtId="166" fontId="6" fillId="0" borderId="2" xfId="0" applyNumberFormat="1" applyFont="1" applyBorder="1" applyAlignment="1">
      <alignment horizontal="left"/>
    </xf>
    <xf numFmtId="164" fontId="9" fillId="0" borderId="2" xfId="0" applyNumberFormat="1" applyFont="1" applyBorder="1" applyAlignment="1">
      <alignment horizontal="center"/>
    </xf>
    <xf numFmtId="0" fontId="0" fillId="2" borderId="0" xfId="0" applyFill="1"/>
    <xf numFmtId="4" fontId="9" fillId="2" borderId="0" xfId="0" applyNumberFormat="1" applyFont="1" applyFill="1"/>
    <xf numFmtId="164" fontId="9" fillId="2" borderId="0" xfId="0" applyNumberFormat="1" applyFont="1" applyFill="1"/>
    <xf numFmtId="164" fontId="9" fillId="2" borderId="3" xfId="0" applyNumberFormat="1" applyFont="1" applyFill="1" applyBorder="1"/>
    <xf numFmtId="4" fontId="9" fillId="2" borderId="3" xfId="0" applyNumberFormat="1" applyFont="1" applyFill="1" applyBorder="1"/>
    <xf numFmtId="164" fontId="9" fillId="2" borderId="0" xfId="0" applyNumberFormat="1" applyFont="1" applyFill="1" applyAlignment="1">
      <alignment horizontal="right"/>
    </xf>
    <xf numFmtId="0" fontId="0" fillId="2" borderId="2" xfId="0" applyFill="1" applyBorder="1"/>
    <xf numFmtId="0" fontId="9" fillId="2" borderId="2" xfId="0" applyFont="1" applyFill="1" applyBorder="1"/>
    <xf numFmtId="164" fontId="10" fillId="0" borderId="0" xfId="0" applyNumberFormat="1" applyFont="1" applyAlignment="1">
      <alignment horizontal="left"/>
    </xf>
    <xf numFmtId="165" fontId="9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65" fontId="9" fillId="3" borderId="0" xfId="0" applyNumberFormat="1" applyFont="1" applyFill="1" applyAlignment="1">
      <alignment horizontal="center"/>
    </xf>
    <xf numFmtId="2" fontId="9" fillId="0" borderId="14" xfId="1" applyNumberFormat="1" applyFont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/>
    </xf>
    <xf numFmtId="164" fontId="9" fillId="3" borderId="0" xfId="0" applyNumberFormat="1" applyFont="1" applyFill="1"/>
    <xf numFmtId="0" fontId="0" fillId="3" borderId="0" xfId="0" applyFill="1"/>
    <xf numFmtId="165" fontId="0" fillId="0" borderId="0" xfId="0" applyNumberFormat="1"/>
    <xf numFmtId="2" fontId="9" fillId="0" borderId="0" xfId="1" applyNumberFormat="1" applyFont="1" applyAlignment="1">
      <alignment horizontal="left" vertical="center"/>
    </xf>
    <xf numFmtId="2" fontId="9" fillId="0" borderId="12" xfId="1" applyNumberFormat="1" applyFont="1" applyBorder="1" applyAlignment="1">
      <alignment horizontal="left" vertical="center"/>
    </xf>
    <xf numFmtId="2" fontId="10" fillId="0" borderId="0" xfId="1" applyNumberFormat="1" applyFont="1" applyAlignment="1">
      <alignment horizontal="left" vertical="center"/>
    </xf>
    <xf numFmtId="2" fontId="10" fillId="0" borderId="18" xfId="1" applyNumberFormat="1" applyFont="1" applyBorder="1" applyAlignment="1">
      <alignment horizontal="center" vertical="center" wrapText="1"/>
    </xf>
    <xf numFmtId="2" fontId="9" fillId="0" borderId="20" xfId="1" applyNumberFormat="1" applyFont="1" applyBorder="1" applyAlignment="1">
      <alignment horizontal="center" vertical="center"/>
    </xf>
    <xf numFmtId="2" fontId="9" fillId="0" borderId="18" xfId="1" applyNumberFormat="1" applyFont="1" applyBorder="1" applyAlignment="1">
      <alignment horizontal="center" vertical="center" wrapText="1"/>
    </xf>
    <xf numFmtId="2" fontId="10" fillId="0" borderId="16" xfId="1" applyNumberFormat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2" fontId="9" fillId="0" borderId="23" xfId="1" applyNumberFormat="1" applyFont="1" applyBorder="1" applyAlignment="1">
      <alignment horizontal="left" vertical="center"/>
    </xf>
    <xf numFmtId="2" fontId="9" fillId="0" borderId="23" xfId="1" applyNumberFormat="1" applyFont="1" applyBorder="1" applyAlignment="1">
      <alignment horizontal="center" vertical="center"/>
    </xf>
    <xf numFmtId="2" fontId="9" fillId="0" borderId="20" xfId="1" applyNumberFormat="1" applyFont="1" applyBorder="1" applyAlignment="1">
      <alignment horizontal="center" vertical="center" wrapText="1"/>
    </xf>
    <xf numFmtId="2" fontId="0" fillId="0" borderId="12" xfId="0" applyNumberFormat="1" applyBorder="1"/>
    <xf numFmtId="0" fontId="13" fillId="0" borderId="13" xfId="1" applyFont="1" applyBorder="1" applyAlignment="1">
      <alignment horizontal="left" vertical="center"/>
    </xf>
    <xf numFmtId="0" fontId="9" fillId="0" borderId="22" xfId="1" applyFont="1" applyBorder="1" applyAlignment="1">
      <alignment horizontal="left" vertical="center"/>
    </xf>
    <xf numFmtId="0" fontId="10" fillId="0" borderId="15" xfId="1" applyFont="1" applyBorder="1" applyAlignment="1">
      <alignment horizontal="center" vertical="center"/>
    </xf>
    <xf numFmtId="0" fontId="9" fillId="7" borderId="24" xfId="1" applyFont="1" applyFill="1" applyBorder="1" applyAlignment="1">
      <alignment horizontal="center" vertical="center" wrapText="1"/>
    </xf>
    <xf numFmtId="0" fontId="9" fillId="7" borderId="24" xfId="1" applyFont="1" applyFill="1" applyBorder="1" applyAlignment="1">
      <alignment horizontal="center" vertical="center"/>
    </xf>
    <xf numFmtId="2" fontId="9" fillId="3" borderId="0" xfId="1" applyNumberFormat="1" applyFont="1" applyFill="1" applyAlignment="1">
      <alignment horizontal="left" vertical="center"/>
    </xf>
    <xf numFmtId="2" fontId="9" fillId="3" borderId="2" xfId="1" applyNumberFormat="1" applyFont="1" applyFill="1" applyBorder="1" applyAlignment="1">
      <alignment vertical="center"/>
    </xf>
    <xf numFmtId="0" fontId="9" fillId="0" borderId="0" xfId="1" applyFont="1" applyAlignment="1">
      <alignment horizontal="center" vertical="center" wrapText="1"/>
    </xf>
    <xf numFmtId="2" fontId="9" fillId="0" borderId="0" xfId="1" applyNumberFormat="1" applyFont="1" applyAlignment="1">
      <alignment vertical="center"/>
    </xf>
    <xf numFmtId="2" fontId="9" fillId="3" borderId="2" xfId="1" applyNumberFormat="1" applyFont="1" applyFill="1" applyBorder="1" applyAlignment="1">
      <alignment horizontal="left" vertical="center"/>
    </xf>
    <xf numFmtId="2" fontId="9" fillId="3" borderId="0" xfId="1" applyNumberFormat="1" applyFont="1" applyFill="1" applyAlignment="1">
      <alignment horizontal="center" vertical="center"/>
    </xf>
    <xf numFmtId="2" fontId="9" fillId="3" borderId="23" xfId="1" applyNumberFormat="1" applyFont="1" applyFill="1" applyBorder="1" applyAlignment="1">
      <alignment horizontal="center" vertical="center"/>
    </xf>
    <xf numFmtId="2" fontId="9" fillId="8" borderId="16" xfId="1" applyNumberFormat="1" applyFont="1" applyFill="1" applyBorder="1" applyAlignment="1">
      <alignment horizontal="center" vertical="center"/>
    </xf>
    <xf numFmtId="2" fontId="9" fillId="8" borderId="14" xfId="1" applyNumberFormat="1" applyFont="1" applyFill="1" applyBorder="1" applyAlignment="1">
      <alignment horizontal="center" vertical="center"/>
    </xf>
    <xf numFmtId="2" fontId="9" fillId="8" borderId="9" xfId="1" applyNumberFormat="1" applyFont="1" applyFill="1" applyBorder="1" applyAlignment="1">
      <alignment horizontal="center" vertical="center"/>
    </xf>
    <xf numFmtId="2" fontId="9" fillId="8" borderId="12" xfId="1" applyNumberFormat="1" applyFont="1" applyFill="1" applyBorder="1" applyAlignment="1">
      <alignment horizontal="center" vertical="center"/>
    </xf>
    <xf numFmtId="2" fontId="9" fillId="8" borderId="0" xfId="1" applyNumberFormat="1" applyFont="1" applyFill="1" applyAlignment="1">
      <alignment horizontal="center" vertical="center"/>
    </xf>
    <xf numFmtId="2" fontId="9" fillId="8" borderId="23" xfId="1" applyNumberFormat="1" applyFont="1" applyFill="1" applyBorder="1" applyAlignment="1">
      <alignment horizontal="center" vertical="center"/>
    </xf>
    <xf numFmtId="2" fontId="1" fillId="6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center" vertical="center"/>
    </xf>
    <xf numFmtId="2" fontId="9" fillId="0" borderId="18" xfId="1" applyNumberFormat="1" applyFont="1" applyBorder="1" applyAlignment="1">
      <alignment horizontal="center" vertical="center"/>
    </xf>
    <xf numFmtId="2" fontId="9" fillId="0" borderId="21" xfId="1" applyNumberFormat="1" applyFont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2" fontId="10" fillId="0" borderId="0" xfId="1" applyNumberFormat="1" applyFont="1" applyAlignment="1">
      <alignment horizontal="center" vertical="center"/>
    </xf>
    <xf numFmtId="2" fontId="10" fillId="0" borderId="18" xfId="1" applyNumberFormat="1" applyFont="1" applyBorder="1" applyAlignment="1">
      <alignment horizontal="center" vertical="center"/>
    </xf>
    <xf numFmtId="0" fontId="15" fillId="0" borderId="0" xfId="0" applyFont="1"/>
    <xf numFmtId="166" fontId="16" fillId="0" borderId="0" xfId="0" applyNumberFormat="1" applyFont="1"/>
    <xf numFmtId="164" fontId="16" fillId="0" borderId="0" xfId="0" applyNumberFormat="1" applyFont="1" applyAlignment="1">
      <alignment horizontal="center"/>
    </xf>
    <xf numFmtId="0" fontId="15" fillId="0" borderId="2" xfId="0" applyFont="1" applyBorder="1"/>
    <xf numFmtId="0" fontId="17" fillId="0" borderId="2" xfId="0" applyFont="1" applyBorder="1"/>
    <xf numFmtId="4" fontId="15" fillId="0" borderId="2" xfId="0" applyNumberFormat="1" applyFont="1" applyBorder="1" applyAlignment="1">
      <alignment horizontal="left"/>
    </xf>
    <xf numFmtId="2" fontId="9" fillId="0" borderId="18" xfId="1" applyNumberFormat="1" applyFont="1" applyBorder="1" applyAlignment="1">
      <alignment horizontal="center" vertical="center"/>
    </xf>
    <xf numFmtId="2" fontId="9" fillId="0" borderId="21" xfId="1" applyNumberFormat="1" applyFont="1" applyBorder="1" applyAlignment="1">
      <alignment horizontal="center" vertical="center"/>
    </xf>
    <xf numFmtId="0" fontId="9" fillId="0" borderId="13" xfId="1" applyFont="1" applyBorder="1" applyAlignment="1">
      <alignment horizontal="left" vertical="center"/>
    </xf>
    <xf numFmtId="0" fontId="9" fillId="0" borderId="12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2" fontId="9" fillId="3" borderId="19" xfId="1" applyNumberFormat="1" applyFont="1" applyFill="1" applyBorder="1" applyAlignment="1">
      <alignment horizontal="left" vertical="center"/>
    </xf>
    <xf numFmtId="0" fontId="9" fillId="3" borderId="25" xfId="1" applyFont="1" applyFill="1" applyBorder="1" applyAlignment="1">
      <alignment horizontal="left" vertical="center"/>
    </xf>
    <xf numFmtId="0" fontId="9" fillId="3" borderId="26" xfId="1" applyFont="1" applyFill="1" applyBorder="1" applyAlignment="1">
      <alignment horizontal="left" vertical="center"/>
    </xf>
    <xf numFmtId="0" fontId="9" fillId="3" borderId="24" xfId="1" applyFont="1" applyFill="1" applyBorder="1" applyAlignment="1">
      <alignment horizontal="left" vertical="center"/>
    </xf>
    <xf numFmtId="2" fontId="10" fillId="0" borderId="17" xfId="0" applyNumberFormat="1" applyFont="1" applyBorder="1" applyAlignment="1">
      <alignment horizontal="center"/>
    </xf>
    <xf numFmtId="2" fontId="10" fillId="0" borderId="16" xfId="0" applyNumberFormat="1" applyFont="1" applyBorder="1" applyAlignment="1">
      <alignment horizontal="center"/>
    </xf>
    <xf numFmtId="2" fontId="10" fillId="0" borderId="15" xfId="1" applyNumberFormat="1" applyFont="1" applyBorder="1" applyAlignment="1">
      <alignment horizontal="center" vertical="center"/>
    </xf>
    <xf numFmtId="2" fontId="10" fillId="0" borderId="0" xfId="1" applyNumberFormat="1" applyFont="1" applyAlignment="1">
      <alignment horizontal="center" vertical="center"/>
    </xf>
    <xf numFmtId="2" fontId="10" fillId="0" borderId="18" xfId="1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165" fontId="10" fillId="0" borderId="0" xfId="0" applyNumberFormat="1" applyFont="1" applyAlignment="1">
      <alignment horizontal="center"/>
    </xf>
    <xf numFmtId="165" fontId="10" fillId="5" borderId="0" xfId="0" applyNumberFormat="1" applyFont="1" applyFill="1" applyAlignment="1">
      <alignment horizontal="center" vertical="center"/>
    </xf>
    <xf numFmtId="165" fontId="10" fillId="5" borderId="3" xfId="0" applyNumberFormat="1" applyFont="1" applyFill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5" fontId="10" fillId="5" borderId="3" xfId="0" applyNumberFormat="1" applyFont="1" applyFill="1" applyBorder="1" applyAlignment="1">
      <alignment horizontal="center"/>
    </xf>
    <xf numFmtId="165" fontId="10" fillId="5" borderId="0" xfId="0" applyNumberFormat="1" applyFont="1" applyFill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9" fillId="2" borderId="0" xfId="0" applyFont="1" applyFill="1" applyBorder="1" applyAlignment="1">
      <alignment horizontal="center"/>
    </xf>
    <xf numFmtId="0" fontId="9" fillId="2" borderId="27" xfId="0" applyFont="1" applyFill="1" applyBorder="1"/>
    <xf numFmtId="165" fontId="2" fillId="3" borderId="0" xfId="0" applyNumberFormat="1" applyFont="1" applyFill="1" applyAlignment="1">
      <alignment horizontal="center"/>
    </xf>
    <xf numFmtId="4" fontId="3" fillId="3" borderId="0" xfId="0" applyNumberFormat="1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0" fillId="3" borderId="0" xfId="0" applyFont="1" applyFill="1" applyBorder="1" applyAlignment="1">
      <alignment horizontal="center"/>
    </xf>
    <xf numFmtId="0" fontId="10" fillId="3" borderId="0" xfId="0" applyFont="1" applyFill="1"/>
    <xf numFmtId="4" fontId="19" fillId="3" borderId="0" xfId="0" applyNumberFormat="1" applyFont="1" applyFill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165" fontId="5" fillId="0" borderId="0" xfId="0" applyNumberFormat="1" applyFont="1" applyBorder="1" applyAlignment="1">
      <alignment horizontal="center"/>
    </xf>
    <xf numFmtId="4" fontId="6" fillId="0" borderId="0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0" fontId="0" fillId="0" borderId="0" xfId="0" applyBorder="1"/>
    <xf numFmtId="0" fontId="9" fillId="2" borderId="0" xfId="0" applyFont="1" applyFill="1" applyBorder="1"/>
    <xf numFmtId="0" fontId="0" fillId="0" borderId="0" xfId="0" applyFont="1"/>
    <xf numFmtId="0" fontId="0" fillId="0" borderId="0" xfId="0" applyFont="1" applyAlignment="1">
      <alignment horizontal="center"/>
    </xf>
    <xf numFmtId="165" fontId="2" fillId="3" borderId="0" xfId="0" applyNumberFormat="1" applyFont="1" applyFill="1" applyBorder="1" applyAlignment="1">
      <alignment horizontal="center"/>
    </xf>
    <xf numFmtId="4" fontId="3" fillId="3" borderId="0" xfId="0" applyNumberFormat="1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165" fontId="2" fillId="3" borderId="4" xfId="0" applyNumberFormat="1" applyFont="1" applyFill="1" applyBorder="1" applyAlignment="1">
      <alignment horizontal="center"/>
    </xf>
    <xf numFmtId="4" fontId="3" fillId="3" borderId="4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2" fontId="3" fillId="3" borderId="6" xfId="0" applyNumberFormat="1" applyFont="1" applyFill="1" applyBorder="1" applyAlignment="1">
      <alignment horizontal="center"/>
    </xf>
    <xf numFmtId="2" fontId="2" fillId="3" borderId="4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4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2" fontId="1" fillId="3" borderId="0" xfId="0" applyNumberFormat="1" applyFont="1" applyFill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9" fillId="3" borderId="0" xfId="0" applyFont="1" applyFill="1"/>
    <xf numFmtId="0" fontId="2" fillId="3" borderId="0" xfId="0" applyFont="1" applyFill="1" applyAlignment="1">
      <alignment horizontal="center" vertical="center"/>
    </xf>
    <xf numFmtId="2" fontId="2" fillId="3" borderId="0" xfId="0" applyNumberFormat="1" applyFont="1" applyFill="1" applyBorder="1" applyAlignment="1">
      <alignment horizontal="center"/>
    </xf>
    <xf numFmtId="2" fontId="5" fillId="0" borderId="0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65" fontId="5" fillId="0" borderId="26" xfId="0" applyNumberFormat="1" applyFont="1" applyBorder="1" applyAlignment="1">
      <alignment horizontal="center"/>
    </xf>
    <xf numFmtId="4" fontId="6" fillId="0" borderId="26" xfId="0" applyNumberFormat="1" applyFont="1" applyBorder="1" applyAlignment="1">
      <alignment horizontal="center"/>
    </xf>
    <xf numFmtId="3" fontId="6" fillId="0" borderId="26" xfId="0" applyNumberFormat="1" applyFont="1" applyBorder="1" applyAlignment="1">
      <alignment horizontal="center"/>
    </xf>
    <xf numFmtId="2" fontId="6" fillId="0" borderId="26" xfId="0" applyNumberFormat="1" applyFont="1" applyBorder="1" applyAlignment="1">
      <alignment horizontal="center"/>
    </xf>
    <xf numFmtId="2" fontId="5" fillId="0" borderId="26" xfId="0" applyNumberFormat="1" applyFont="1" applyBorder="1" applyAlignment="1">
      <alignment horizontal="center"/>
    </xf>
    <xf numFmtId="4" fontId="5" fillId="0" borderId="26" xfId="0" applyNumberFormat="1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2" fontId="5" fillId="0" borderId="26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/>
    </xf>
    <xf numFmtId="0" fontId="5" fillId="0" borderId="26" xfId="0" applyFont="1" applyBorder="1" applyAlignment="1">
      <alignment horizontal="center" vertical="center"/>
    </xf>
    <xf numFmtId="3" fontId="3" fillId="3" borderId="0" xfId="0" applyNumberFormat="1" applyFont="1" applyFill="1" applyBorder="1" applyAlignment="1">
      <alignment horizontal="center"/>
    </xf>
    <xf numFmtId="2" fontId="3" fillId="3" borderId="0" xfId="0" applyNumberFormat="1" applyFont="1" applyFill="1" applyBorder="1" applyAlignment="1">
      <alignment horizontal="center"/>
    </xf>
    <xf numFmtId="4" fontId="2" fillId="3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4" fontId="3" fillId="3" borderId="3" xfId="0" applyNumberFormat="1" applyFont="1" applyFill="1" applyBorder="1" applyAlignment="1">
      <alignment horizontal="center"/>
    </xf>
    <xf numFmtId="3" fontId="3" fillId="3" borderId="3" xfId="0" applyNumberFormat="1" applyFont="1" applyFill="1" applyBorder="1" applyAlignment="1">
      <alignment horizontal="center"/>
    </xf>
    <xf numFmtId="2" fontId="3" fillId="3" borderId="3" xfId="0" applyNumberFormat="1" applyFont="1" applyFill="1" applyBorder="1" applyAlignment="1">
      <alignment horizontal="center"/>
    </xf>
    <xf numFmtId="4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4" fillId="0" borderId="0" xfId="0" applyFont="1"/>
    <xf numFmtId="0" fontId="2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26" xfId="0" applyFont="1" applyBorder="1" applyAlignment="1">
      <alignment horizontal="center"/>
    </xf>
    <xf numFmtId="0" fontId="0" fillId="3" borderId="0" xfId="0" applyFont="1" applyFill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</cellXfs>
  <cellStyles count="2">
    <cellStyle name="Normal" xfId="0" builtinId="0"/>
    <cellStyle name="Normal 2" xfId="1" xr:uid="{299B3A41-EA04-A748-A902-612F2A01A105}"/>
  </cellStyles>
  <dxfs count="57">
    <dxf>
      <fill>
        <patternFill>
          <bgColor theme="5"/>
        </patternFill>
      </fill>
      <border>
        <left/>
        <right/>
        <top/>
        <bottom/>
      </border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  <border>
        <left/>
        <right/>
        <top/>
        <bottom/>
      </border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  <border>
        <left/>
        <right/>
        <top/>
        <bottom/>
      </border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673100</xdr:colOff>
      <xdr:row>51</xdr:row>
      <xdr:rowOff>139700</xdr:rowOff>
    </xdr:from>
    <xdr:ext cx="4889500" cy="147014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D2978C-FB04-A3C7-1AEC-BBCC4192571C}"/>
            </a:ext>
          </a:extLst>
        </xdr:cNvPr>
        <xdr:cNvSpPr txBox="1"/>
      </xdr:nvSpPr>
      <xdr:spPr>
        <a:xfrm>
          <a:off x="5537200" y="11849100"/>
          <a:ext cx="4889500" cy="14701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Table S1.  The protein structure files from RCSB are of different lengths and often have missing side chains or loops.  A</a:t>
          </a:r>
          <a:r>
            <a:rPr lang="en-US" sz="1100" baseline="0"/>
            <a:t> substet of kinase structures were made a consistant length, the first and last residue were capped with _ and _.  Side chains were repaired and loops were closed. Thus, the net charge of these proteins could be significantly differnt than the raw, parent structure.</a:t>
          </a:r>
        </a:p>
        <a:p>
          <a:r>
            <a:rPr lang="en-US" sz="1100" baseline="0"/>
            <a:t>    The apo-kinase has the ligand removed; The holo-kinase charge is only that of the amino acids and does not include the inhibitor.</a:t>
          </a:r>
        </a:p>
        <a:p>
          <a:r>
            <a:rPr lang="en-US" sz="1100" baseline="0"/>
            <a:t>   The raw, kinase date is from Table 1 in the main paper. 	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292100</xdr:colOff>
      <xdr:row>167</xdr:row>
      <xdr:rowOff>139700</xdr:rowOff>
    </xdr:from>
    <xdr:ext cx="5473700" cy="11256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B312E6-5442-2C45-B8ED-3CED57853574}"/>
            </a:ext>
          </a:extLst>
        </xdr:cNvPr>
        <xdr:cNvSpPr txBox="1"/>
      </xdr:nvSpPr>
      <xdr:spPr>
        <a:xfrm>
          <a:off x="3289300" y="30619700"/>
          <a:ext cx="5473700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Table</a:t>
          </a:r>
          <a:r>
            <a:rPr lang="en-US" sz="1100" baseline="0"/>
            <a:t> SI.3. </a:t>
          </a:r>
        </a:p>
        <a:p>
          <a:r>
            <a:rPr lang="en-US" sz="1100" baseline="0"/>
            <a:t>Conf designation: name given in picture of each kinase; SI.Figue 2. Charge: net charge of this conformer; Conformer occupancy .  The energy is calculated in solution at pH 7.4 with the Epic program (ref).  P(i) soln: The calculated distribution in solution obtain withe the equation </a:t>
          </a:r>
        </a:p>
        <a:p>
          <a:r>
            <a:rPr lang="en-US" sz="1100" baseline="0"/>
            <a:t>      P(i) = 10^Ei/? / [sum[10^Ei/? ]; </a:t>
          </a:r>
        </a:p>
        <a:p>
          <a:r>
            <a:rPr lang="en-US" sz="1100" baseline="0"/>
            <a:t>;P(i)prot the probability of found in MCCE sampling of the ligand boudn to the kinase.</a:t>
          </a:r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292100</xdr:colOff>
      <xdr:row>167</xdr:row>
      <xdr:rowOff>139700</xdr:rowOff>
    </xdr:from>
    <xdr:ext cx="5473700" cy="11256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5EAE53-B4EF-1745-8875-5A510B833BF2}"/>
            </a:ext>
          </a:extLst>
        </xdr:cNvPr>
        <xdr:cNvSpPr txBox="1"/>
      </xdr:nvSpPr>
      <xdr:spPr>
        <a:xfrm>
          <a:off x="3289300" y="34074100"/>
          <a:ext cx="5473700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Table</a:t>
          </a:r>
          <a:r>
            <a:rPr lang="en-US" sz="1100" baseline="0"/>
            <a:t> SI.3. </a:t>
          </a:r>
        </a:p>
        <a:p>
          <a:r>
            <a:rPr lang="en-US" sz="1100" baseline="0"/>
            <a:t>Conf designation: name given in picture of each kinase; SI.Figue 2. Charge: net charge of this conformer; Conformer occupancy .  The energy is calculated in solution at pH 7.4 with the Epic program (ref).  P(i) soln: The calculated distribution in solution obtain withe the equation </a:t>
          </a:r>
        </a:p>
        <a:p>
          <a:r>
            <a:rPr lang="en-US" sz="1100" baseline="0"/>
            <a:t>      P(i) = 10^Ei/? / [sum[10^Ei/? ]; </a:t>
          </a:r>
        </a:p>
        <a:p>
          <a:r>
            <a:rPr lang="en-US" sz="1100" baseline="0"/>
            <a:t>;P(i)prot the probability of found in MCCE sampling of the ligand boudn to the kinase.</a:t>
          </a:r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84666</xdr:colOff>
      <xdr:row>56</xdr:row>
      <xdr:rowOff>55034</xdr:rowOff>
    </xdr:from>
    <xdr:to>
      <xdr:col>10</xdr:col>
      <xdr:colOff>33866</xdr:colOff>
      <xdr:row>64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94CF1B-8F31-054E-9188-13E96A7804B4}"/>
            </a:ext>
          </a:extLst>
        </xdr:cNvPr>
        <xdr:cNvSpPr txBox="1"/>
      </xdr:nvSpPr>
      <xdr:spPr>
        <a:xfrm>
          <a:off x="84666" y="11806767"/>
          <a:ext cx="7840133" cy="16594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Table 1.  Charges of isolated ligands, apo-kinase and changes on binding.  Results</a:t>
          </a:r>
          <a:r>
            <a:rPr lang="en-US" sz="1100" baseline="0"/>
            <a:t> grouped by kinase type.  </a:t>
          </a:r>
          <a:r>
            <a:rPr lang="en-US" sz="1100"/>
            <a:t> C</a:t>
          </a:r>
          <a:r>
            <a:rPr lang="en-US" sz="1100" baseline="0"/>
            <a:t>alculations carried out on 'raw' PDB files.  #conf: Number of ligand conformers  with protonation and/or tautomer states within 6 kcal/mol of the lowest energy state at pH 7.4 obtain with EPIC.  Ligand crg soln: Average Boltzmann weighted ligand charge given each EPIC conformer  energy (Table SI.3).  Ligand crg bound: Average MCCE calculted charge of  ligand bound in the PDB structure.  This includes theirr relative intrinsic energy obtained with EPIC; Apo-kinase crg: MCCE calculated average charge of protein with ligand removed; Kinase ∆crg: charge in charge of protein residues when the ligand is bound. This does not include the ligand charge.  DFG: Orientation of DFG loop.  In-active; Out-inactive. 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62E2-DB99-414E-A0CF-7D9C533B9ADA}">
  <dimension ref="A1:B10"/>
  <sheetViews>
    <sheetView workbookViewId="0">
      <selection sqref="A1:XFD1048576"/>
    </sheetView>
  </sheetViews>
  <sheetFormatPr baseColWidth="10" defaultColWidth="9" defaultRowHeight="16" x14ac:dyDescent="0.2"/>
  <cols>
    <col min="1" max="1" width="21.83203125" style="51" bestFit="1" customWidth="1"/>
    <col min="2" max="2" width="66.83203125" style="52" bestFit="1" customWidth="1"/>
    <col min="3" max="3" width="8.6640625" style="51" customWidth="1"/>
    <col min="4" max="16384" width="9" style="51"/>
  </cols>
  <sheetData>
    <row r="1" spans="1:2" s="50" customFormat="1" x14ac:dyDescent="0.2">
      <c r="A1" s="50" t="s">
        <v>0</v>
      </c>
      <c r="B1" s="53" t="s">
        <v>1</v>
      </c>
    </row>
    <row r="2" spans="1:2" x14ac:dyDescent="0.2">
      <c r="A2" s="51" t="s">
        <v>2</v>
      </c>
      <c r="B2" s="52" t="s">
        <v>3</v>
      </c>
    </row>
    <row r="3" spans="1:2" x14ac:dyDescent="0.2">
      <c r="A3" s="51" t="s">
        <v>4</v>
      </c>
      <c r="B3" s="52" t="s">
        <v>5</v>
      </c>
    </row>
    <row r="4" spans="1:2" x14ac:dyDescent="0.2">
      <c r="A4" s="51" t="s">
        <v>6</v>
      </c>
      <c r="B4" s="52" t="s">
        <v>7</v>
      </c>
    </row>
    <row r="5" spans="1:2" ht="34" x14ac:dyDescent="0.2">
      <c r="A5" s="54" t="s">
        <v>8</v>
      </c>
      <c r="B5" s="52" t="s">
        <v>9</v>
      </c>
    </row>
    <row r="6" spans="1:2" ht="34" x14ac:dyDescent="0.2">
      <c r="A6" s="54" t="s">
        <v>10</v>
      </c>
      <c r="B6" s="52" t="s">
        <v>11</v>
      </c>
    </row>
    <row r="8" spans="1:2" x14ac:dyDescent="0.2">
      <c r="A8" s="50" t="s">
        <v>12</v>
      </c>
    </row>
    <row r="9" spans="1:2" x14ac:dyDescent="0.2">
      <c r="A9" s="51" t="s">
        <v>13</v>
      </c>
      <c r="B9" s="52" t="s">
        <v>14</v>
      </c>
    </row>
    <row r="10" spans="1:2" x14ac:dyDescent="0.2">
      <c r="A10" s="51" t="s">
        <v>15</v>
      </c>
      <c r="B10" s="5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9446-CCD0-8348-8B11-FEA26556B499}">
  <dimension ref="A1:F29"/>
  <sheetViews>
    <sheetView workbookViewId="0">
      <selection activeCell="C32" sqref="C32"/>
    </sheetView>
  </sheetViews>
  <sheetFormatPr baseColWidth="10" defaultColWidth="11" defaultRowHeight="16" x14ac:dyDescent="0.2"/>
  <cols>
    <col min="2" max="2" width="14.6640625" bestFit="1" customWidth="1"/>
  </cols>
  <sheetData>
    <row r="1" spans="1:6" x14ac:dyDescent="0.2">
      <c r="A1" s="63" t="s">
        <v>17</v>
      </c>
      <c r="B1" s="63" t="s">
        <v>18</v>
      </c>
      <c r="C1" s="63" t="s">
        <v>19</v>
      </c>
      <c r="D1" s="63" t="s">
        <v>20</v>
      </c>
      <c r="E1" s="63" t="s">
        <v>21</v>
      </c>
      <c r="F1" s="63" t="s">
        <v>22</v>
      </c>
    </row>
    <row r="2" spans="1:6" x14ac:dyDescent="0.2">
      <c r="A2" s="23" t="s">
        <v>23</v>
      </c>
      <c r="B2" s="64" t="s">
        <v>24</v>
      </c>
      <c r="C2" s="65">
        <v>233</v>
      </c>
      <c r="D2" s="65">
        <v>502</v>
      </c>
      <c r="E2" s="65">
        <v>245</v>
      </c>
      <c r="F2" s="65">
        <v>497</v>
      </c>
    </row>
    <row r="3" spans="1:6" x14ac:dyDescent="0.2">
      <c r="A3" s="23" t="s">
        <v>23</v>
      </c>
      <c r="B3" s="64" t="s">
        <v>25</v>
      </c>
      <c r="C3" s="65">
        <v>235</v>
      </c>
      <c r="D3" s="65">
        <v>498</v>
      </c>
      <c r="E3" s="65">
        <v>245</v>
      </c>
      <c r="F3" s="65">
        <v>497</v>
      </c>
    </row>
    <row r="4" spans="1:6" x14ac:dyDescent="0.2">
      <c r="A4" s="23" t="s">
        <v>23</v>
      </c>
      <c r="B4" s="64" t="s">
        <v>26</v>
      </c>
      <c r="C4" s="65">
        <v>251</v>
      </c>
      <c r="D4" s="65">
        <v>519</v>
      </c>
      <c r="E4" s="65">
        <v>245</v>
      </c>
      <c r="F4" s="65">
        <v>497</v>
      </c>
    </row>
    <row r="5" spans="1:6" x14ac:dyDescent="0.2">
      <c r="A5" s="23" t="s">
        <v>23</v>
      </c>
      <c r="B5" s="64" t="s">
        <v>27</v>
      </c>
      <c r="C5" s="65">
        <v>233</v>
      </c>
      <c r="D5" s="65">
        <v>500</v>
      </c>
      <c r="E5" s="65">
        <v>245</v>
      </c>
      <c r="F5" s="65">
        <v>497</v>
      </c>
    </row>
    <row r="6" spans="1:6" ht="17" thickBot="1" x14ac:dyDescent="0.25">
      <c r="A6" s="35" t="s">
        <v>23</v>
      </c>
      <c r="B6" s="66" t="s">
        <v>28</v>
      </c>
      <c r="C6" s="67">
        <v>83</v>
      </c>
      <c r="D6" s="67">
        <v>531</v>
      </c>
      <c r="E6" s="67">
        <v>245</v>
      </c>
      <c r="F6" s="67">
        <v>497</v>
      </c>
    </row>
    <row r="7" spans="1:6" ht="17" thickTop="1" x14ac:dyDescent="0.2">
      <c r="A7" s="23" t="s">
        <v>29</v>
      </c>
      <c r="B7" s="64" t="s">
        <v>30</v>
      </c>
      <c r="C7" s="65">
        <v>1086</v>
      </c>
      <c r="D7" s="65">
        <v>1401</v>
      </c>
      <c r="E7" s="65"/>
      <c r="F7" s="65"/>
    </row>
    <row r="8" spans="1:6" x14ac:dyDescent="0.2">
      <c r="A8" s="23" t="s">
        <v>29</v>
      </c>
      <c r="B8" s="64" t="s">
        <v>31</v>
      </c>
      <c r="C8" s="65">
        <v>1093</v>
      </c>
      <c r="D8" s="65">
        <v>1401</v>
      </c>
      <c r="E8" s="65"/>
      <c r="F8" s="65"/>
    </row>
    <row r="9" spans="1:6" x14ac:dyDescent="0.2">
      <c r="A9" s="23" t="s">
        <v>29</v>
      </c>
      <c r="B9" s="64" t="s">
        <v>32</v>
      </c>
      <c r="C9" s="65">
        <v>1093</v>
      </c>
      <c r="D9" s="65">
        <v>1401</v>
      </c>
      <c r="E9" s="65"/>
      <c r="F9" s="65"/>
    </row>
    <row r="10" spans="1:6" ht="17" thickBot="1" x14ac:dyDescent="0.25">
      <c r="A10" s="35" t="s">
        <v>29</v>
      </c>
      <c r="B10" s="66" t="s">
        <v>33</v>
      </c>
      <c r="C10" s="67">
        <v>1093</v>
      </c>
      <c r="D10" s="67">
        <v>1401</v>
      </c>
      <c r="E10" s="67"/>
      <c r="F10" s="67"/>
    </row>
    <row r="11" spans="1:6" ht="18" thickTop="1" thickBot="1" x14ac:dyDescent="0.25">
      <c r="A11" s="68" t="s">
        <v>34</v>
      </c>
      <c r="B11" s="69" t="s">
        <v>35</v>
      </c>
      <c r="C11" s="70">
        <v>10</v>
      </c>
      <c r="D11" s="70">
        <v>301</v>
      </c>
      <c r="E11" s="70"/>
      <c r="F11" s="70"/>
    </row>
    <row r="12" spans="1:6" ht="17" thickTop="1" x14ac:dyDescent="0.2">
      <c r="A12" s="23" t="s">
        <v>36</v>
      </c>
      <c r="B12" s="64" t="s">
        <v>37</v>
      </c>
      <c r="C12" s="65">
        <v>602</v>
      </c>
      <c r="D12" s="65">
        <v>913</v>
      </c>
      <c r="E12" s="65"/>
      <c r="F12" s="65"/>
    </row>
    <row r="13" spans="1:6" ht="17" thickBot="1" x14ac:dyDescent="0.25">
      <c r="A13" s="35" t="s">
        <v>36</v>
      </c>
      <c r="B13" s="66" t="s">
        <v>38</v>
      </c>
      <c r="C13" s="67">
        <v>602</v>
      </c>
      <c r="D13" s="67">
        <v>913</v>
      </c>
      <c r="E13" s="67"/>
      <c r="F13" s="67"/>
    </row>
    <row r="14" spans="1:6" ht="17" thickTop="1" x14ac:dyDescent="0.2">
      <c r="A14" s="23" t="s">
        <v>39</v>
      </c>
      <c r="B14" s="64" t="s">
        <v>40</v>
      </c>
      <c r="C14" s="65">
        <v>696</v>
      </c>
      <c r="D14" s="65">
        <v>1016</v>
      </c>
      <c r="E14" s="65">
        <v>703</v>
      </c>
      <c r="F14" s="65">
        <v>982</v>
      </c>
    </row>
    <row r="15" spans="1:6" x14ac:dyDescent="0.2">
      <c r="A15" s="23" t="s">
        <v>39</v>
      </c>
      <c r="B15" s="64" t="s">
        <v>41</v>
      </c>
      <c r="C15" s="65">
        <v>696</v>
      </c>
      <c r="D15" s="65">
        <v>1016</v>
      </c>
      <c r="E15" s="65">
        <v>703</v>
      </c>
      <c r="F15" s="65">
        <v>982</v>
      </c>
    </row>
    <row r="16" spans="1:6" x14ac:dyDescent="0.2">
      <c r="A16" s="23" t="s">
        <v>39</v>
      </c>
      <c r="B16" s="64" t="s">
        <v>42</v>
      </c>
      <c r="C16" s="65">
        <v>696</v>
      </c>
      <c r="D16" s="65">
        <v>1019</v>
      </c>
      <c r="E16" s="65">
        <v>703</v>
      </c>
      <c r="F16" s="65">
        <v>982</v>
      </c>
    </row>
    <row r="17" spans="1:6" x14ac:dyDescent="0.2">
      <c r="A17" s="23" t="s">
        <v>39</v>
      </c>
      <c r="B17" s="64" t="s">
        <v>43</v>
      </c>
      <c r="C17" s="65">
        <v>697</v>
      </c>
      <c r="D17" s="65">
        <v>1019</v>
      </c>
      <c r="E17" s="65">
        <v>703</v>
      </c>
      <c r="F17" s="65">
        <v>982</v>
      </c>
    </row>
    <row r="18" spans="1:6" x14ac:dyDescent="0.2">
      <c r="A18" s="23" t="s">
        <v>39</v>
      </c>
      <c r="B18" s="64" t="s">
        <v>44</v>
      </c>
      <c r="C18" s="65">
        <v>702</v>
      </c>
      <c r="D18" s="65">
        <v>1018</v>
      </c>
      <c r="E18" s="65">
        <v>703</v>
      </c>
      <c r="F18" s="65">
        <v>982</v>
      </c>
    </row>
    <row r="19" spans="1:6" ht="17" thickBot="1" x14ac:dyDescent="0.25">
      <c r="A19" s="35" t="s">
        <v>39</v>
      </c>
      <c r="B19" s="66" t="s">
        <v>45</v>
      </c>
      <c r="C19" s="67">
        <v>698</v>
      </c>
      <c r="D19" s="67">
        <v>1017</v>
      </c>
      <c r="E19" s="67">
        <v>703</v>
      </c>
      <c r="F19" s="67">
        <v>982</v>
      </c>
    </row>
    <row r="20" spans="1:6" ht="18" thickTop="1" thickBot="1" x14ac:dyDescent="0.25">
      <c r="A20" s="68" t="s">
        <v>46</v>
      </c>
      <c r="B20" s="69" t="s">
        <v>47</v>
      </c>
      <c r="C20" s="70">
        <v>815</v>
      </c>
      <c r="D20" s="70">
        <v>1098</v>
      </c>
      <c r="E20" s="70"/>
      <c r="F20" s="70"/>
    </row>
    <row r="21" spans="1:6" ht="17" thickTop="1" x14ac:dyDescent="0.2">
      <c r="A21" s="23" t="s">
        <v>48</v>
      </c>
      <c r="B21" s="64" t="s">
        <v>49</v>
      </c>
      <c r="C21" s="65">
        <v>58</v>
      </c>
      <c r="D21" s="65">
        <v>381</v>
      </c>
      <c r="E21" s="65"/>
      <c r="F21" s="65"/>
    </row>
    <row r="22" spans="1:6" ht="17" thickBot="1" x14ac:dyDescent="0.25">
      <c r="A22" s="35" t="s">
        <v>48</v>
      </c>
      <c r="B22" s="66" t="s">
        <v>50</v>
      </c>
      <c r="C22" s="67">
        <v>61</v>
      </c>
      <c r="D22" s="67">
        <v>382</v>
      </c>
      <c r="E22" s="67"/>
      <c r="F22" s="67"/>
    </row>
    <row r="23" spans="1:6" ht="18" thickTop="1" thickBot="1" x14ac:dyDescent="0.25">
      <c r="A23" s="68" t="s">
        <v>51</v>
      </c>
      <c r="B23" s="69" t="s">
        <v>52</v>
      </c>
      <c r="C23" s="70">
        <v>1052</v>
      </c>
      <c r="D23" s="70">
        <v>1345</v>
      </c>
      <c r="E23" s="70">
        <v>1067</v>
      </c>
      <c r="F23" s="70">
        <v>1345</v>
      </c>
    </row>
    <row r="24" spans="1:6" ht="17" thickTop="1" x14ac:dyDescent="0.2">
      <c r="A24" s="23" t="s">
        <v>53</v>
      </c>
      <c r="B24" s="64" t="s">
        <v>54</v>
      </c>
      <c r="C24" s="65">
        <v>816</v>
      </c>
      <c r="D24" s="65">
        <v>1168</v>
      </c>
      <c r="E24" s="65"/>
      <c r="F24" s="65"/>
    </row>
    <row r="25" spans="1:6" x14ac:dyDescent="0.2">
      <c r="A25" s="23" t="s">
        <v>53</v>
      </c>
      <c r="B25" s="64" t="s">
        <v>55</v>
      </c>
      <c r="C25" s="65">
        <v>801</v>
      </c>
      <c r="D25" s="65">
        <v>1169</v>
      </c>
      <c r="E25" s="65"/>
      <c r="F25" s="65"/>
    </row>
    <row r="26" spans="1:6" x14ac:dyDescent="0.2">
      <c r="A26" s="23" t="s">
        <v>53</v>
      </c>
      <c r="B26" s="64" t="s">
        <v>56</v>
      </c>
      <c r="C26" s="65">
        <v>820</v>
      </c>
      <c r="D26" s="65">
        <v>1167</v>
      </c>
      <c r="E26" s="65"/>
      <c r="F26" s="65"/>
    </row>
    <row r="27" spans="1:6" x14ac:dyDescent="0.2">
      <c r="A27" s="23" t="s">
        <v>53</v>
      </c>
      <c r="B27" s="64" t="s">
        <v>57</v>
      </c>
      <c r="C27" s="65">
        <v>815</v>
      </c>
      <c r="D27" s="65">
        <v>1167</v>
      </c>
      <c r="E27" s="65"/>
      <c r="F27" s="65"/>
    </row>
    <row r="28" spans="1:6" x14ac:dyDescent="0.2">
      <c r="A28" s="23" t="s">
        <v>53</v>
      </c>
      <c r="B28" s="64" t="s">
        <v>58</v>
      </c>
      <c r="C28" s="65">
        <v>807</v>
      </c>
      <c r="D28" s="65">
        <v>1168</v>
      </c>
      <c r="E28" s="65"/>
      <c r="F28" s="65"/>
    </row>
    <row r="29" spans="1:6" x14ac:dyDescent="0.2">
      <c r="A29" s="71" t="s">
        <v>53</v>
      </c>
      <c r="B29" s="64" t="s">
        <v>59</v>
      </c>
      <c r="C29" s="65">
        <v>802</v>
      </c>
      <c r="D29" s="65">
        <v>1169</v>
      </c>
      <c r="E29" s="65"/>
      <c r="F29" s="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9C55-6536-1C48-BEBA-6D1B03940DF8}">
  <dimension ref="A1:M59"/>
  <sheetViews>
    <sheetView zoomScaleNormal="134" workbookViewId="0">
      <selection activeCell="J14" sqref="J14"/>
    </sheetView>
  </sheetViews>
  <sheetFormatPr baseColWidth="10" defaultColWidth="9" defaultRowHeight="16" x14ac:dyDescent="0.2"/>
  <cols>
    <col min="1" max="1" width="6" style="72" customWidth="1"/>
    <col min="2" max="2" width="7.5" style="149" bestFit="1" customWidth="1"/>
    <col min="3" max="4" width="7.5" style="73" bestFit="1" customWidth="1"/>
    <col min="5" max="5" width="8" style="73" customWidth="1"/>
    <col min="6" max="6" width="9.33203125" style="73" customWidth="1"/>
    <col min="7" max="7" width="9" style="80"/>
    <col min="8" max="8" width="9" style="73"/>
    <col min="9" max="9" width="9" style="72"/>
    <col min="10" max="10" width="23.83203125" style="72" customWidth="1"/>
    <col min="11" max="11" width="12" style="81" bestFit="1" customWidth="1"/>
    <col min="12" max="12" width="25.33203125" style="81" bestFit="1" customWidth="1"/>
    <col min="13" max="13" width="13.6640625" style="81" bestFit="1" customWidth="1"/>
    <col min="14" max="16384" width="9" style="72"/>
  </cols>
  <sheetData>
    <row r="1" spans="1:13" ht="15.75" customHeight="1" x14ac:dyDescent="0.2">
      <c r="A1" s="200" t="s">
        <v>60</v>
      </c>
      <c r="B1" s="201"/>
      <c r="C1" s="201"/>
      <c r="D1" s="201"/>
      <c r="E1" s="201"/>
      <c r="F1" s="201"/>
      <c r="G1" s="201"/>
      <c r="H1" s="201"/>
      <c r="I1" s="202"/>
    </row>
    <row r="2" spans="1:13" ht="51" x14ac:dyDescent="0.2">
      <c r="A2" s="199" t="s">
        <v>61</v>
      </c>
      <c r="B2" s="199"/>
      <c r="C2" s="199"/>
      <c r="D2" s="199"/>
      <c r="E2" s="199"/>
      <c r="F2" s="199"/>
      <c r="G2" s="199"/>
      <c r="H2" s="199"/>
      <c r="I2" s="199"/>
      <c r="J2" s="165" t="s">
        <v>62</v>
      </c>
    </row>
    <row r="3" spans="1:13" ht="15.75" customHeight="1" x14ac:dyDescent="0.2">
      <c r="A3" s="199" t="s">
        <v>63</v>
      </c>
      <c r="B3" s="199"/>
      <c r="C3" s="199"/>
      <c r="D3" s="199"/>
      <c r="E3" s="199"/>
      <c r="F3" s="199"/>
      <c r="G3" s="199"/>
      <c r="H3" s="199"/>
      <c r="I3" s="199"/>
      <c r="J3" s="166" t="s">
        <v>64</v>
      </c>
    </row>
    <row r="4" spans="1:13" ht="68" x14ac:dyDescent="0.2">
      <c r="A4" s="199" t="s">
        <v>65</v>
      </c>
      <c r="B4" s="199"/>
      <c r="C4" s="199"/>
      <c r="D4" s="199"/>
      <c r="E4" s="199"/>
      <c r="F4" s="199"/>
      <c r="G4" s="199"/>
      <c r="H4" s="199"/>
      <c r="I4" s="199"/>
      <c r="J4" s="165" t="s">
        <v>66</v>
      </c>
    </row>
    <row r="5" spans="1:13" x14ac:dyDescent="0.2">
      <c r="A5" s="167" t="s">
        <v>67</v>
      </c>
      <c r="B5" s="171"/>
      <c r="C5" s="72"/>
      <c r="D5" s="168"/>
      <c r="E5" s="168" t="s">
        <v>68</v>
      </c>
      <c r="F5" s="168"/>
      <c r="G5" s="168"/>
      <c r="H5" s="168"/>
      <c r="I5" s="168"/>
      <c r="J5" s="169"/>
    </row>
    <row r="6" spans="1:13" x14ac:dyDescent="0.2">
      <c r="A6" s="149"/>
      <c r="B6" s="168"/>
      <c r="C6" s="170"/>
      <c r="D6" s="170"/>
      <c r="E6" s="170"/>
      <c r="F6" s="170"/>
      <c r="G6" s="170"/>
      <c r="H6" s="170"/>
      <c r="I6" s="170"/>
      <c r="J6" s="169"/>
      <c r="K6" s="72"/>
      <c r="L6" s="72"/>
      <c r="M6" s="72"/>
    </row>
    <row r="7" spans="1:13" ht="15.75" customHeight="1" x14ac:dyDescent="0.2">
      <c r="A7" s="205" t="s">
        <v>69</v>
      </c>
      <c r="B7" s="206"/>
      <c r="C7" s="206"/>
      <c r="D7" s="206"/>
      <c r="E7" s="206"/>
      <c r="F7" s="207"/>
      <c r="G7" s="203" t="s">
        <v>70</v>
      </c>
      <c r="H7" s="204"/>
    </row>
    <row r="8" spans="1:13" ht="17" thickBot="1" x14ac:dyDescent="0.25">
      <c r="A8" s="164"/>
      <c r="B8" s="151" t="s">
        <v>71</v>
      </c>
      <c r="C8" s="185" t="s">
        <v>71</v>
      </c>
      <c r="D8" s="185" t="s">
        <v>71</v>
      </c>
      <c r="E8" s="185" t="s">
        <v>72</v>
      </c>
      <c r="F8" s="186" t="s">
        <v>72</v>
      </c>
      <c r="G8" s="185" t="s">
        <v>71</v>
      </c>
      <c r="H8" s="155" t="s">
        <v>72</v>
      </c>
    </row>
    <row r="9" spans="1:13" s="77" customFormat="1" ht="18" thickBot="1" x14ac:dyDescent="0.25">
      <c r="A9" s="164"/>
      <c r="B9" s="151" t="s">
        <v>73</v>
      </c>
      <c r="C9" s="185" t="s">
        <v>74</v>
      </c>
      <c r="D9" s="185" t="s">
        <v>75</v>
      </c>
      <c r="E9" s="185" t="s">
        <v>76</v>
      </c>
      <c r="F9" s="152" t="s">
        <v>77</v>
      </c>
      <c r="G9" s="185" t="s">
        <v>75</v>
      </c>
      <c r="H9" s="155" t="s">
        <v>76</v>
      </c>
      <c r="K9" s="82" t="s">
        <v>17</v>
      </c>
      <c r="L9" s="83" t="s">
        <v>78</v>
      </c>
      <c r="M9" s="84" t="s">
        <v>79</v>
      </c>
    </row>
    <row r="10" spans="1:13" s="77" customFormat="1" ht="17" thickBot="1" x14ac:dyDescent="0.25">
      <c r="A10" s="162" t="s">
        <v>80</v>
      </c>
      <c r="B10" s="150"/>
      <c r="C10" s="75"/>
      <c r="D10" s="75"/>
      <c r="E10" s="75"/>
      <c r="F10" s="160"/>
      <c r="G10" s="79"/>
      <c r="H10" s="78"/>
      <c r="K10" s="82"/>
      <c r="L10" s="83"/>
      <c r="M10" s="85"/>
    </row>
    <row r="11" spans="1:13" s="77" customFormat="1" ht="17" thickBot="1" x14ac:dyDescent="0.25">
      <c r="A11" s="197" t="s">
        <v>81</v>
      </c>
      <c r="B11" s="198"/>
      <c r="C11" s="198"/>
      <c r="D11" s="73"/>
      <c r="E11" s="73"/>
      <c r="F11" s="154"/>
      <c r="G11" s="185"/>
      <c r="H11" s="155"/>
      <c r="K11" s="82"/>
      <c r="L11" s="83"/>
      <c r="M11" s="85"/>
    </row>
    <row r="12" spans="1:13" x14ac:dyDescent="0.2">
      <c r="A12" s="156" t="s">
        <v>82</v>
      </c>
      <c r="B12" s="149">
        <v>-3.65</v>
      </c>
      <c r="C12" s="73">
        <v>-4.32</v>
      </c>
      <c r="D12" s="73">
        <f>C12-B12</f>
        <v>-0.67000000000000037</v>
      </c>
      <c r="E12" s="73">
        <v>1</v>
      </c>
      <c r="F12" s="193">
        <f>_xlfn.STDEV.P(E12:E15)</f>
        <v>4.3301270189221976E-3</v>
      </c>
      <c r="G12" s="73">
        <v>-0.43</v>
      </c>
      <c r="H12" s="76">
        <v>1</v>
      </c>
      <c r="K12" s="86" t="s">
        <v>23</v>
      </c>
      <c r="L12" s="87" t="s">
        <v>83</v>
      </c>
      <c r="M12" s="87" t="s">
        <v>84</v>
      </c>
    </row>
    <row r="13" spans="1:13" x14ac:dyDescent="0.2">
      <c r="A13" s="156" t="s">
        <v>85</v>
      </c>
      <c r="B13" s="149">
        <v>-3.2</v>
      </c>
      <c r="C13" s="73">
        <v>-4.0199999999999996</v>
      </c>
      <c r="D13" s="73">
        <f>C13-B13</f>
        <v>-0.8199999999999994</v>
      </c>
      <c r="E13" s="73">
        <v>1</v>
      </c>
      <c r="F13" s="193"/>
      <c r="G13" s="73"/>
      <c r="H13" s="76"/>
      <c r="K13" s="88" t="s">
        <v>23</v>
      </c>
      <c r="L13" s="81" t="s">
        <v>86</v>
      </c>
      <c r="M13" s="81" t="s">
        <v>84</v>
      </c>
    </row>
    <row r="14" spans="1:13" x14ac:dyDescent="0.2">
      <c r="A14" s="156" t="s">
        <v>87</v>
      </c>
      <c r="B14" s="149">
        <v>-3.52</v>
      </c>
      <c r="C14" s="73">
        <v>-4.01</v>
      </c>
      <c r="D14" s="73">
        <f>C14-B14</f>
        <v>-0.48999999999999977</v>
      </c>
      <c r="E14" s="73">
        <v>1</v>
      </c>
      <c r="F14" s="193"/>
      <c r="G14" s="73"/>
      <c r="H14" s="76"/>
      <c r="K14" s="88" t="s">
        <v>23</v>
      </c>
      <c r="L14" s="81" t="s">
        <v>88</v>
      </c>
      <c r="M14" s="81" t="s">
        <v>84</v>
      </c>
    </row>
    <row r="15" spans="1:13" ht="17" thickBot="1" x14ac:dyDescent="0.25">
      <c r="A15" s="157" t="s">
        <v>89</v>
      </c>
      <c r="B15" s="158">
        <v>-3.26</v>
      </c>
      <c r="C15" s="159">
        <v>-3.89</v>
      </c>
      <c r="D15" s="159">
        <f>C15-B15</f>
        <v>-0.63000000000000034</v>
      </c>
      <c r="E15" s="159">
        <v>0.99</v>
      </c>
      <c r="F15" s="194"/>
      <c r="G15" s="159"/>
      <c r="H15" s="144"/>
      <c r="K15" s="88" t="s">
        <v>23</v>
      </c>
      <c r="L15" s="81" t="s">
        <v>90</v>
      </c>
      <c r="M15" s="81" t="s">
        <v>84</v>
      </c>
    </row>
    <row r="16" spans="1:13" ht="16.25" customHeight="1" thickBot="1" x14ac:dyDescent="0.25">
      <c r="A16" s="195" t="s">
        <v>91</v>
      </c>
      <c r="B16" s="196"/>
      <c r="C16" s="196"/>
      <c r="D16" s="75"/>
      <c r="E16" s="75"/>
      <c r="F16" s="153"/>
      <c r="G16" s="75"/>
      <c r="H16" s="74"/>
      <c r="K16" s="88"/>
    </row>
    <row r="17" spans="1:13" x14ac:dyDescent="0.2">
      <c r="A17" s="156" t="s">
        <v>92</v>
      </c>
      <c r="B17" s="149">
        <v>-3.56</v>
      </c>
      <c r="C17" s="73">
        <v>-4.4800000000000004</v>
      </c>
      <c r="D17" s="172">
        <f>C17-B17</f>
        <v>-0.92000000000000037</v>
      </c>
      <c r="E17" s="73">
        <v>0.99</v>
      </c>
      <c r="F17" s="193">
        <f>_xlfn.STDEV.P(E17:E20)</f>
        <v>0</v>
      </c>
      <c r="G17" s="73">
        <v>-0.06</v>
      </c>
      <c r="H17" s="76">
        <v>1</v>
      </c>
      <c r="K17" s="86" t="s">
        <v>23</v>
      </c>
      <c r="L17" s="87" t="s">
        <v>93</v>
      </c>
      <c r="M17" s="87" t="s">
        <v>94</v>
      </c>
    </row>
    <row r="18" spans="1:13" x14ac:dyDescent="0.2">
      <c r="A18" s="156" t="s">
        <v>95</v>
      </c>
      <c r="B18" s="149">
        <v>-3.58</v>
      </c>
      <c r="C18" s="73">
        <v>-4.54</v>
      </c>
      <c r="D18" s="172">
        <f>C18-B18</f>
        <v>-0.96</v>
      </c>
      <c r="E18" s="73">
        <v>0.99</v>
      </c>
      <c r="F18" s="193"/>
      <c r="G18" s="73"/>
      <c r="H18" s="76"/>
      <c r="K18" s="88" t="s">
        <v>23</v>
      </c>
      <c r="L18" s="81" t="s">
        <v>96</v>
      </c>
      <c r="M18" s="81" t="s">
        <v>94</v>
      </c>
    </row>
    <row r="19" spans="1:13" x14ac:dyDescent="0.2">
      <c r="A19" s="156" t="s">
        <v>97</v>
      </c>
      <c r="B19" s="149">
        <v>-3.99</v>
      </c>
      <c r="C19" s="73">
        <v>-4.82</v>
      </c>
      <c r="D19" s="172">
        <f>C19-B19</f>
        <v>-0.83000000000000007</v>
      </c>
      <c r="E19" s="73">
        <v>0.99</v>
      </c>
      <c r="F19" s="193"/>
      <c r="G19" s="73"/>
      <c r="H19" s="76"/>
      <c r="K19" s="88" t="s">
        <v>23</v>
      </c>
      <c r="L19" s="81" t="s">
        <v>98</v>
      </c>
      <c r="M19" s="81" t="s">
        <v>94</v>
      </c>
    </row>
    <row r="20" spans="1:13" ht="17" thickBot="1" x14ac:dyDescent="0.25">
      <c r="A20" s="157" t="s">
        <v>99</v>
      </c>
      <c r="B20" s="158">
        <v>-4.05</v>
      </c>
      <c r="C20" s="159">
        <v>-4.84</v>
      </c>
      <c r="D20" s="173">
        <f>C20-B20</f>
        <v>-0.79</v>
      </c>
      <c r="E20" s="159">
        <v>0.99</v>
      </c>
      <c r="F20" s="194"/>
      <c r="G20" s="159"/>
      <c r="H20" s="144"/>
      <c r="K20" s="88" t="s">
        <v>23</v>
      </c>
      <c r="L20" s="81" t="s">
        <v>100</v>
      </c>
      <c r="M20" s="81" t="s">
        <v>94</v>
      </c>
    </row>
    <row r="21" spans="1:13" ht="16.25" customHeight="1" thickBot="1" x14ac:dyDescent="0.25">
      <c r="A21" s="195" t="s">
        <v>101</v>
      </c>
      <c r="B21" s="196"/>
      <c r="C21" s="196"/>
      <c r="D21" s="75"/>
      <c r="E21" s="75"/>
      <c r="F21" s="153"/>
      <c r="G21" s="75"/>
      <c r="H21" s="74"/>
      <c r="K21" s="88"/>
    </row>
    <row r="22" spans="1:13" x14ac:dyDescent="0.2">
      <c r="A22" s="156" t="s">
        <v>82</v>
      </c>
      <c r="B22" s="149">
        <v>-4.53</v>
      </c>
      <c r="C22" s="73">
        <v>-4.41</v>
      </c>
      <c r="D22" s="73">
        <f>C22-B22</f>
        <v>0.12000000000000011</v>
      </c>
      <c r="E22" s="73">
        <v>0.09</v>
      </c>
      <c r="F22" s="193">
        <f>_xlfn.STDEV.P(E22:E26)</f>
        <v>0.14878171930717837</v>
      </c>
      <c r="G22" s="73">
        <v>0.04</v>
      </c>
      <c r="H22" s="76">
        <v>0.09</v>
      </c>
      <c r="K22" s="86" t="s">
        <v>23</v>
      </c>
      <c r="L22" s="87" t="s">
        <v>102</v>
      </c>
      <c r="M22" s="87" t="s">
        <v>103</v>
      </c>
    </row>
    <row r="23" spans="1:13" x14ac:dyDescent="0.2">
      <c r="A23" s="156" t="s">
        <v>97</v>
      </c>
      <c r="B23" s="149">
        <v>-4.4400000000000004</v>
      </c>
      <c r="C23" s="73">
        <v>-4.8099999999999996</v>
      </c>
      <c r="D23" s="73">
        <f>C23-B23</f>
        <v>-0.36999999999999922</v>
      </c>
      <c r="E23" s="73">
        <v>0.4</v>
      </c>
      <c r="F23" s="193"/>
      <c r="G23" s="73"/>
      <c r="H23" s="76"/>
      <c r="K23" s="88" t="s">
        <v>23</v>
      </c>
      <c r="L23" s="81" t="s">
        <v>104</v>
      </c>
      <c r="M23" s="81" t="s">
        <v>103</v>
      </c>
    </row>
    <row r="24" spans="1:13" x14ac:dyDescent="0.2">
      <c r="A24" s="156" t="s">
        <v>99</v>
      </c>
      <c r="B24" s="149">
        <v>-4.67</v>
      </c>
      <c r="C24" s="73">
        <v>-4.9800000000000004</v>
      </c>
      <c r="D24" s="73">
        <f>C24-B24</f>
        <v>-0.3100000000000005</v>
      </c>
      <c r="E24" s="73">
        <v>0.24</v>
      </c>
      <c r="F24" s="193"/>
      <c r="G24" s="73"/>
      <c r="H24" s="76"/>
      <c r="K24" s="88" t="s">
        <v>23</v>
      </c>
      <c r="L24" s="81" t="s">
        <v>105</v>
      </c>
      <c r="M24" s="81" t="s">
        <v>103</v>
      </c>
    </row>
    <row r="25" spans="1:13" x14ac:dyDescent="0.2">
      <c r="A25" s="156" t="s">
        <v>87</v>
      </c>
      <c r="B25" s="149">
        <v>-3.97</v>
      </c>
      <c r="C25" s="73">
        <v>-4.0599999999999996</v>
      </c>
      <c r="D25" s="73">
        <f>C25-B25</f>
        <v>-8.9999999999999414E-2</v>
      </c>
      <c r="E25" s="73">
        <v>0.01</v>
      </c>
      <c r="F25" s="193"/>
      <c r="G25" s="73"/>
      <c r="H25" s="76"/>
      <c r="K25" s="88" t="s">
        <v>23</v>
      </c>
      <c r="L25" s="81" t="s">
        <v>106</v>
      </c>
      <c r="M25" s="81" t="s">
        <v>103</v>
      </c>
    </row>
    <row r="26" spans="1:13" ht="17" thickBot="1" x14ac:dyDescent="0.25">
      <c r="A26" s="157" t="s">
        <v>89</v>
      </c>
      <c r="B26" s="158">
        <v>-3.76</v>
      </c>
      <c r="C26" s="159">
        <v>-3.97</v>
      </c>
      <c r="D26" s="159">
        <f>C26-B26</f>
        <v>-0.21000000000000041</v>
      </c>
      <c r="E26" s="159">
        <v>0.35</v>
      </c>
      <c r="F26" s="194"/>
      <c r="G26" s="159"/>
      <c r="H26" s="144"/>
      <c r="K26" s="88" t="s">
        <v>23</v>
      </c>
      <c r="L26" s="81" t="s">
        <v>107</v>
      </c>
      <c r="M26" s="81" t="s">
        <v>103</v>
      </c>
    </row>
    <row r="27" spans="1:13" ht="17" thickBot="1" x14ac:dyDescent="0.25">
      <c r="A27" s="195" t="s">
        <v>108</v>
      </c>
      <c r="B27" s="196"/>
      <c r="C27" s="196"/>
      <c r="D27" s="75"/>
      <c r="E27" s="75"/>
      <c r="F27" s="153"/>
      <c r="G27" s="161"/>
      <c r="H27" s="74"/>
      <c r="K27" s="88"/>
    </row>
    <row r="28" spans="1:13" x14ac:dyDescent="0.2">
      <c r="A28" s="156" t="s">
        <v>82</v>
      </c>
      <c r="B28" s="149">
        <v>-4.47</v>
      </c>
      <c r="C28" s="73">
        <v>-5.05</v>
      </c>
      <c r="D28" s="73">
        <f>C28-B28</f>
        <v>-0.58000000000000007</v>
      </c>
      <c r="E28" s="73">
        <v>0.61</v>
      </c>
      <c r="F28" s="193">
        <f>_xlfn.STDEV.P(E28:E29)</f>
        <v>0.13000000000000009</v>
      </c>
      <c r="G28" s="73">
        <v>0.02</v>
      </c>
      <c r="H28" s="174">
        <v>0.22</v>
      </c>
      <c r="I28" s="184" t="s">
        <v>109</v>
      </c>
      <c r="K28" s="86" t="s">
        <v>23</v>
      </c>
      <c r="L28" s="87" t="s">
        <v>110</v>
      </c>
      <c r="M28" s="87" t="s">
        <v>111</v>
      </c>
    </row>
    <row r="29" spans="1:13" ht="17" thickBot="1" x14ac:dyDescent="0.25">
      <c r="A29" s="157" t="s">
        <v>85</v>
      </c>
      <c r="B29" s="158">
        <v>-4.43</v>
      </c>
      <c r="C29" s="159">
        <v>-5.14</v>
      </c>
      <c r="D29" s="159">
        <f>C29-B29</f>
        <v>-0.71</v>
      </c>
      <c r="E29" s="159">
        <v>0.87</v>
      </c>
      <c r="F29" s="194"/>
      <c r="G29" s="159"/>
      <c r="H29" s="144"/>
      <c r="I29" s="184" t="s">
        <v>112</v>
      </c>
      <c r="K29" s="88" t="s">
        <v>23</v>
      </c>
      <c r="L29" s="81" t="s">
        <v>113</v>
      </c>
      <c r="M29" s="81" t="s">
        <v>111</v>
      </c>
    </row>
    <row r="30" spans="1:13" ht="16.25" customHeight="1" thickBot="1" x14ac:dyDescent="0.25">
      <c r="A30" s="195" t="s">
        <v>114</v>
      </c>
      <c r="B30" s="196"/>
      <c r="C30" s="196"/>
      <c r="D30" s="75"/>
      <c r="E30" s="75"/>
      <c r="F30" s="153"/>
      <c r="G30" s="75"/>
      <c r="H30" s="74"/>
      <c r="K30" s="88"/>
    </row>
    <row r="31" spans="1:13" x14ac:dyDescent="0.2">
      <c r="A31" s="156" t="s">
        <v>82</v>
      </c>
      <c r="B31" s="149">
        <v>-1.3</v>
      </c>
      <c r="C31" s="73">
        <v>-2.12</v>
      </c>
      <c r="D31" s="73">
        <f>C31-B31</f>
        <v>-0.82000000000000006</v>
      </c>
      <c r="E31" s="73">
        <v>0.94</v>
      </c>
      <c r="F31" s="193">
        <f>_xlfn.STDEV.P(E31:E32)</f>
        <v>2.5000000000000022E-2</v>
      </c>
      <c r="G31" s="73">
        <v>-0.06</v>
      </c>
      <c r="H31" s="76">
        <v>0.95</v>
      </c>
      <c r="K31" s="86" t="s">
        <v>23</v>
      </c>
      <c r="L31" s="87" t="s">
        <v>115</v>
      </c>
      <c r="M31" s="87" t="s">
        <v>116</v>
      </c>
    </row>
    <row r="32" spans="1:13" ht="17" thickBot="1" x14ac:dyDescent="0.25">
      <c r="A32" s="157" t="s">
        <v>85</v>
      </c>
      <c r="B32" s="158">
        <v>-2.98</v>
      </c>
      <c r="C32" s="159">
        <v>-3.79</v>
      </c>
      <c r="D32" s="159">
        <f>C32-B32</f>
        <v>-0.81</v>
      </c>
      <c r="E32" s="159">
        <v>0.99</v>
      </c>
      <c r="F32" s="194"/>
      <c r="G32" s="159"/>
      <c r="H32" s="144"/>
      <c r="K32" s="88" t="s">
        <v>23</v>
      </c>
      <c r="L32" s="81" t="s">
        <v>117</v>
      </c>
      <c r="M32" s="81" t="s">
        <v>116</v>
      </c>
    </row>
    <row r="33" spans="1:13" ht="17" thickBot="1" x14ac:dyDescent="0.25">
      <c r="A33" s="156"/>
      <c r="F33" s="182"/>
      <c r="G33" s="73"/>
      <c r="H33" s="76"/>
      <c r="K33" s="88"/>
    </row>
    <row r="34" spans="1:13" x14ac:dyDescent="0.2">
      <c r="A34" s="208" t="s">
        <v>118</v>
      </c>
      <c r="B34" s="209"/>
      <c r="C34" s="209"/>
      <c r="D34" s="209"/>
      <c r="E34" s="209"/>
      <c r="F34" s="210"/>
      <c r="G34" s="75"/>
      <c r="H34" s="74"/>
      <c r="K34" s="88"/>
    </row>
    <row r="35" spans="1:13" ht="17" thickBot="1" x14ac:dyDescent="0.25">
      <c r="A35" s="197" t="s">
        <v>119</v>
      </c>
      <c r="B35" s="198"/>
      <c r="C35" s="198"/>
      <c r="F35" s="182"/>
      <c r="G35" s="73"/>
      <c r="H35" s="174"/>
      <c r="K35" s="88"/>
    </row>
    <row r="36" spans="1:13" ht="17" thickBot="1" x14ac:dyDescent="0.25">
      <c r="A36" s="157"/>
      <c r="B36" s="158">
        <v>3.33</v>
      </c>
      <c r="C36" s="159">
        <v>3.01</v>
      </c>
      <c r="D36" s="159">
        <f>C36-B36</f>
        <v>-0.32000000000000028</v>
      </c>
      <c r="E36" s="159">
        <v>0.05</v>
      </c>
      <c r="F36" s="183" t="s">
        <v>120</v>
      </c>
      <c r="G36" s="159">
        <v>-7.0000000000000007E-2</v>
      </c>
      <c r="H36" s="175">
        <v>0.45</v>
      </c>
      <c r="K36" s="86" t="s">
        <v>39</v>
      </c>
      <c r="L36" s="87" t="s">
        <v>121</v>
      </c>
      <c r="M36" s="87" t="s">
        <v>122</v>
      </c>
    </row>
    <row r="37" spans="1:13" ht="16.25" customHeight="1" thickBot="1" x14ac:dyDescent="0.25">
      <c r="A37" s="195" t="s">
        <v>123</v>
      </c>
      <c r="B37" s="196"/>
      <c r="C37" s="196"/>
      <c r="D37" s="75"/>
      <c r="E37" s="75"/>
      <c r="F37" s="153"/>
      <c r="G37" s="75"/>
      <c r="H37" s="176"/>
      <c r="K37" s="86"/>
      <c r="L37" s="87"/>
      <c r="M37" s="87"/>
    </row>
    <row r="38" spans="1:13" ht="17" thickBot="1" x14ac:dyDescent="0.25">
      <c r="A38" s="163"/>
      <c r="B38" s="158">
        <v>3.67</v>
      </c>
      <c r="C38" s="159">
        <v>3.52</v>
      </c>
      <c r="D38" s="159">
        <f>C38-B38</f>
        <v>-0.14999999999999991</v>
      </c>
      <c r="E38" s="159">
        <v>0.46</v>
      </c>
      <c r="F38" s="183" t="s">
        <v>120</v>
      </c>
      <c r="G38" s="159">
        <v>-0.14000000000000001</v>
      </c>
      <c r="H38" s="175">
        <v>0.7</v>
      </c>
      <c r="K38" s="86" t="s">
        <v>39</v>
      </c>
      <c r="L38" s="87" t="s">
        <v>124</v>
      </c>
      <c r="M38" s="87" t="s">
        <v>125</v>
      </c>
    </row>
    <row r="39" spans="1:13" ht="16.25" customHeight="1" thickBot="1" x14ac:dyDescent="0.25">
      <c r="A39" s="195" t="s">
        <v>126</v>
      </c>
      <c r="B39" s="196"/>
      <c r="C39" s="196"/>
      <c r="D39" s="75"/>
      <c r="E39" s="75"/>
      <c r="F39" s="153"/>
      <c r="G39" s="75"/>
      <c r="H39" s="74"/>
      <c r="K39" s="86"/>
      <c r="L39" s="87"/>
      <c r="M39" s="87"/>
    </row>
    <row r="40" spans="1:13" ht="17" thickBot="1" x14ac:dyDescent="0.25">
      <c r="A40" s="163"/>
      <c r="B40" s="158">
        <v>3.44</v>
      </c>
      <c r="C40" s="159">
        <v>3.82</v>
      </c>
      <c r="D40" s="159">
        <f>C40-B40</f>
        <v>0.37999999999999989</v>
      </c>
      <c r="E40" s="159">
        <v>0.21</v>
      </c>
      <c r="F40" s="183" t="s">
        <v>120</v>
      </c>
      <c r="G40" s="159">
        <v>0.04</v>
      </c>
      <c r="H40" s="144">
        <v>0.37</v>
      </c>
      <c r="K40" s="86" t="s">
        <v>39</v>
      </c>
      <c r="L40" s="87" t="s">
        <v>127</v>
      </c>
      <c r="M40" s="87" t="s">
        <v>125</v>
      </c>
    </row>
    <row r="41" spans="1:13" ht="16.25" customHeight="1" thickBot="1" x14ac:dyDescent="0.25">
      <c r="A41" s="195" t="s">
        <v>128</v>
      </c>
      <c r="B41" s="196"/>
      <c r="C41" s="196"/>
      <c r="D41" s="196"/>
      <c r="E41" s="75"/>
      <c r="F41" s="153"/>
      <c r="G41" s="75"/>
      <c r="H41" s="74"/>
      <c r="K41" s="86"/>
      <c r="L41" s="87"/>
      <c r="M41" s="87"/>
    </row>
    <row r="42" spans="1:13" ht="17" thickBot="1" x14ac:dyDescent="0.25">
      <c r="A42" s="163"/>
      <c r="B42" s="158">
        <v>5.34</v>
      </c>
      <c r="C42" s="159">
        <v>4.5199999999999996</v>
      </c>
      <c r="D42" s="159">
        <f>C42-B42</f>
        <v>-0.82000000000000028</v>
      </c>
      <c r="E42" s="159">
        <v>1</v>
      </c>
      <c r="F42" s="183" t="s">
        <v>120</v>
      </c>
      <c r="G42" s="159">
        <v>-0.23</v>
      </c>
      <c r="H42" s="144">
        <v>0.99</v>
      </c>
      <c r="K42" s="86" t="s">
        <v>39</v>
      </c>
      <c r="L42" s="87" t="s">
        <v>129</v>
      </c>
      <c r="M42" s="87" t="s">
        <v>130</v>
      </c>
    </row>
    <row r="43" spans="1:13" ht="16.25" customHeight="1" thickBot="1" x14ac:dyDescent="0.25">
      <c r="A43" s="195" t="s">
        <v>131</v>
      </c>
      <c r="B43" s="196"/>
      <c r="C43" s="196"/>
      <c r="D43" s="177"/>
      <c r="E43" s="75"/>
      <c r="F43" s="153"/>
      <c r="G43" s="75"/>
      <c r="H43" s="74"/>
      <c r="K43" s="86"/>
      <c r="L43" s="87"/>
      <c r="M43" s="87"/>
    </row>
    <row r="44" spans="1:13" x14ac:dyDescent="0.2">
      <c r="A44" s="156" t="s">
        <v>92</v>
      </c>
      <c r="B44" s="149">
        <v>5.6</v>
      </c>
      <c r="C44" s="73">
        <v>4.59</v>
      </c>
      <c r="D44" s="178">
        <f>C44-B44</f>
        <v>-1.0099999999999998</v>
      </c>
      <c r="E44" s="73">
        <v>0.95</v>
      </c>
      <c r="F44" s="193">
        <f>_xlfn.STDEV.P(E44:E45)</f>
        <v>5.0000000000000044E-3</v>
      </c>
      <c r="G44" s="73">
        <v>-0.04</v>
      </c>
      <c r="H44" s="76">
        <v>0.95</v>
      </c>
      <c r="K44" s="86" t="s">
        <v>39</v>
      </c>
      <c r="L44" s="87" t="s">
        <v>132</v>
      </c>
      <c r="M44" s="87" t="s">
        <v>133</v>
      </c>
    </row>
    <row r="45" spans="1:13" ht="17" thickBot="1" x14ac:dyDescent="0.25">
      <c r="A45" s="157" t="s">
        <v>95</v>
      </c>
      <c r="B45" s="158">
        <v>5.78</v>
      </c>
      <c r="C45" s="159">
        <v>4.66</v>
      </c>
      <c r="D45" s="179">
        <f>C45-B45</f>
        <v>-1.1200000000000001</v>
      </c>
      <c r="E45" s="159">
        <v>0.94</v>
      </c>
      <c r="F45" s="194"/>
      <c r="G45" s="159"/>
      <c r="H45" s="144"/>
      <c r="K45" s="88" t="s">
        <v>39</v>
      </c>
      <c r="L45" s="81" t="s">
        <v>134</v>
      </c>
      <c r="M45" s="81" t="s">
        <v>133</v>
      </c>
    </row>
    <row r="46" spans="1:13" ht="16.25" customHeight="1" thickBot="1" x14ac:dyDescent="0.25">
      <c r="A46" s="195" t="s">
        <v>135</v>
      </c>
      <c r="B46" s="196"/>
      <c r="C46" s="196"/>
      <c r="D46" s="177"/>
      <c r="E46" s="75"/>
      <c r="F46" s="153"/>
      <c r="G46" s="75"/>
      <c r="H46" s="74"/>
      <c r="K46" s="88"/>
    </row>
    <row r="47" spans="1:13" x14ac:dyDescent="0.2">
      <c r="A47" s="156" t="s">
        <v>82</v>
      </c>
      <c r="B47" s="149">
        <v>5.4</v>
      </c>
      <c r="C47" s="73">
        <v>4.45</v>
      </c>
      <c r="D47" s="178">
        <f>C47-B47</f>
        <v>-0.95000000000000018</v>
      </c>
      <c r="E47" s="73">
        <v>0.94</v>
      </c>
      <c r="F47" s="193">
        <f>_xlfn.STDEV.P(E47:E48)</f>
        <v>0.28499999999999986</v>
      </c>
      <c r="G47" s="73">
        <v>-0.24</v>
      </c>
      <c r="H47" s="76">
        <v>0.96</v>
      </c>
      <c r="K47" s="86" t="s">
        <v>39</v>
      </c>
      <c r="L47" s="87" t="s">
        <v>136</v>
      </c>
      <c r="M47" s="87" t="s">
        <v>133</v>
      </c>
    </row>
    <row r="48" spans="1:13" ht="17" thickBot="1" x14ac:dyDescent="0.25">
      <c r="A48" s="157" t="s">
        <v>85</v>
      </c>
      <c r="B48" s="158">
        <v>5.62</v>
      </c>
      <c r="C48" s="159">
        <v>4.72</v>
      </c>
      <c r="D48" s="179">
        <f>C48-B48</f>
        <v>-0.90000000000000036</v>
      </c>
      <c r="E48" s="159">
        <v>0.37</v>
      </c>
      <c r="F48" s="194"/>
      <c r="G48" s="159"/>
      <c r="H48" s="144"/>
      <c r="K48" s="88" t="s">
        <v>39</v>
      </c>
      <c r="L48" s="81" t="s">
        <v>137</v>
      </c>
      <c r="M48" s="81" t="s">
        <v>133</v>
      </c>
    </row>
    <row r="49" spans="1:13" ht="17" thickBot="1" x14ac:dyDescent="0.25">
      <c r="A49" s="156"/>
      <c r="F49" s="182"/>
      <c r="H49" s="76"/>
    </row>
    <row r="50" spans="1:13" ht="17" thickBot="1" x14ac:dyDescent="0.25">
      <c r="A50" s="208" t="s">
        <v>138</v>
      </c>
      <c r="B50" s="209"/>
      <c r="C50" s="209"/>
      <c r="D50" s="209"/>
      <c r="E50" s="75"/>
      <c r="F50" s="153"/>
      <c r="G50" s="75"/>
      <c r="H50" s="74"/>
      <c r="K50" s="88"/>
    </row>
    <row r="51" spans="1:13" ht="17" thickBot="1" x14ac:dyDescent="0.25">
      <c r="A51" s="197" t="s">
        <v>139</v>
      </c>
      <c r="B51" s="198"/>
      <c r="C51" s="198"/>
      <c r="D51" s="198"/>
      <c r="F51" s="182"/>
      <c r="H51" s="76"/>
      <c r="K51" s="89" t="s">
        <v>51</v>
      </c>
      <c r="L51" s="90" t="s">
        <v>140</v>
      </c>
      <c r="M51" s="90" t="s">
        <v>141</v>
      </c>
    </row>
    <row r="52" spans="1:13" ht="17" thickBot="1" x14ac:dyDescent="0.25">
      <c r="A52" s="157"/>
      <c r="B52" s="158">
        <v>7.2</v>
      </c>
      <c r="C52" s="159">
        <v>6.72</v>
      </c>
      <c r="D52" s="159">
        <f>C52-B52</f>
        <v>-0.48000000000000043</v>
      </c>
      <c r="E52" s="159">
        <v>0.96</v>
      </c>
      <c r="F52" s="183" t="s">
        <v>120</v>
      </c>
      <c r="G52" s="159">
        <v>-0.17</v>
      </c>
      <c r="H52" s="144">
        <v>0.85</v>
      </c>
    </row>
    <row r="53" spans="1:13" x14ac:dyDescent="0.2">
      <c r="G53" s="73"/>
    </row>
    <row r="54" spans="1:13" x14ac:dyDescent="0.2">
      <c r="G54" s="73"/>
    </row>
    <row r="55" spans="1:13" x14ac:dyDescent="0.2">
      <c r="G55" s="73"/>
    </row>
    <row r="56" spans="1:13" x14ac:dyDescent="0.2">
      <c r="G56" s="73"/>
    </row>
    <row r="57" spans="1:13" x14ac:dyDescent="0.2">
      <c r="G57" s="73"/>
    </row>
    <row r="58" spans="1:13" x14ac:dyDescent="0.2">
      <c r="G58" s="73"/>
    </row>
    <row r="59" spans="1:13" x14ac:dyDescent="0.2">
      <c r="G59" s="73"/>
    </row>
  </sheetData>
  <mergeCells count="27">
    <mergeCell ref="A51:D51"/>
    <mergeCell ref="A2:I2"/>
    <mergeCell ref="A3:I3"/>
    <mergeCell ref="A4:I4"/>
    <mergeCell ref="A1:I1"/>
    <mergeCell ref="G7:H7"/>
    <mergeCell ref="A7:F7"/>
    <mergeCell ref="A34:F34"/>
    <mergeCell ref="A50:D50"/>
    <mergeCell ref="A16:C16"/>
    <mergeCell ref="A11:C11"/>
    <mergeCell ref="A21:C21"/>
    <mergeCell ref="A27:C27"/>
    <mergeCell ref="A30:C30"/>
    <mergeCell ref="A35:C35"/>
    <mergeCell ref="A37:C37"/>
    <mergeCell ref="A39:C39"/>
    <mergeCell ref="A41:D41"/>
    <mergeCell ref="A43:C43"/>
    <mergeCell ref="A46:C46"/>
    <mergeCell ref="F47:F48"/>
    <mergeCell ref="F44:F45"/>
    <mergeCell ref="F12:F15"/>
    <mergeCell ref="F22:F26"/>
    <mergeCell ref="F17:F20"/>
    <mergeCell ref="F31:F32"/>
    <mergeCell ref="F28:F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34DF-61E2-3C44-A1D9-863FC7206C21}">
  <dimension ref="A1:O167"/>
  <sheetViews>
    <sheetView topLeftCell="C1" workbookViewId="0">
      <selection activeCell="O16" sqref="O16"/>
    </sheetView>
  </sheetViews>
  <sheetFormatPr baseColWidth="10" defaultColWidth="8.83203125" defaultRowHeight="16" x14ac:dyDescent="0.2"/>
  <cols>
    <col min="2" max="2" width="8.83203125" style="132"/>
    <col min="3" max="3" width="21.6640625" style="132" bestFit="1" customWidth="1"/>
    <col min="4" max="4" width="16" customWidth="1"/>
    <col min="7" max="7" width="16.33203125" bestFit="1" customWidth="1"/>
    <col min="8" max="8" width="9.6640625" bestFit="1" customWidth="1"/>
  </cols>
  <sheetData>
    <row r="1" spans="2:14" x14ac:dyDescent="0.2">
      <c r="D1" t="s">
        <v>142</v>
      </c>
    </row>
    <row r="2" spans="2:14" x14ac:dyDescent="0.2">
      <c r="D2" t="s">
        <v>143</v>
      </c>
    </row>
    <row r="7" spans="2:14" x14ac:dyDescent="0.2">
      <c r="C7" s="140"/>
      <c r="D7" s="91"/>
      <c r="E7" s="91"/>
      <c r="F7" s="91"/>
      <c r="G7" s="91"/>
      <c r="H7" s="91"/>
      <c r="I7" s="91"/>
      <c r="L7" s="56" t="s">
        <v>144</v>
      </c>
    </row>
    <row r="8" spans="2:14" x14ac:dyDescent="0.2">
      <c r="L8" s="107" t="s">
        <v>145</v>
      </c>
      <c r="M8" s="92" t="s">
        <v>146</v>
      </c>
    </row>
    <row r="9" spans="2:14" x14ac:dyDescent="0.2">
      <c r="B9" s="58"/>
      <c r="D9" s="187" t="s">
        <v>386</v>
      </c>
      <c r="E9" s="188"/>
      <c r="F9" s="189"/>
      <c r="G9" s="64"/>
      <c r="H9" s="64"/>
      <c r="I9" s="96"/>
      <c r="L9" s="107" t="s">
        <v>147</v>
      </c>
      <c r="M9" s="97">
        <f>0.5925</f>
        <v>0.59250000000000003</v>
      </c>
      <c r="N9" s="92" t="s">
        <v>148</v>
      </c>
    </row>
    <row r="10" spans="2:14" x14ac:dyDescent="0.2">
      <c r="B10" s="58"/>
      <c r="C10" s="133" t="s">
        <v>149</v>
      </c>
      <c r="D10" s="93" t="s">
        <v>150</v>
      </c>
      <c r="E10" s="99" t="s">
        <v>151</v>
      </c>
      <c r="F10" s="95" t="s">
        <v>152</v>
      </c>
      <c r="G10" s="64" t="s">
        <v>153</v>
      </c>
      <c r="H10" s="64" t="s">
        <v>154</v>
      </c>
      <c r="I10" s="96" t="s">
        <v>155</v>
      </c>
      <c r="J10" s="64" t="s">
        <v>24</v>
      </c>
      <c r="L10" s="93" t="s">
        <v>150</v>
      </c>
    </row>
    <row r="11" spans="2:14" x14ac:dyDescent="0.2">
      <c r="B11" s="134" t="s">
        <v>156</v>
      </c>
      <c r="C11" s="133" t="s">
        <v>157</v>
      </c>
      <c r="D11" s="98" t="s">
        <v>158</v>
      </c>
      <c r="E11" s="100">
        <v>1</v>
      </c>
      <c r="F11" s="95">
        <v>7.0999999999999994E-2</v>
      </c>
      <c r="G11" s="64">
        <f>EXP(-F11/$M$9)</f>
        <v>0.88707014056298616</v>
      </c>
      <c r="H11" s="64">
        <f>G11/G$15</f>
        <v>0.88723417447251562</v>
      </c>
      <c r="I11" s="64">
        <v>0.88700000000000001</v>
      </c>
      <c r="J11" s="101">
        <v>0.56000000000000005</v>
      </c>
      <c r="L11" s="93" t="s">
        <v>159</v>
      </c>
    </row>
    <row r="12" spans="2:14" x14ac:dyDescent="0.2">
      <c r="B12" s="134" t="s">
        <v>160</v>
      </c>
      <c r="C12" s="133" t="s">
        <v>161</v>
      </c>
      <c r="D12" s="98" t="s">
        <v>162</v>
      </c>
      <c r="E12" s="100">
        <v>1.002</v>
      </c>
      <c r="F12" s="95">
        <v>1.6950000000000001</v>
      </c>
      <c r="G12" s="64">
        <f>EXP(-F12/$M$9)</f>
        <v>5.722528151751316E-2</v>
      </c>
      <c r="H12" s="64">
        <f t="shared" ref="H12:H14" si="0">G12/G$15</f>
        <v>5.7235863416533327E-2</v>
      </c>
      <c r="I12" s="64">
        <v>5.7000000000000002E-2</v>
      </c>
      <c r="J12" s="101">
        <v>0.39400000000000002</v>
      </c>
      <c r="L12" s="93" t="s">
        <v>163</v>
      </c>
    </row>
    <row r="13" spans="2:14" x14ac:dyDescent="0.2">
      <c r="B13" s="134" t="s">
        <v>164</v>
      </c>
      <c r="C13" s="133" t="s">
        <v>165</v>
      </c>
      <c r="D13" s="98" t="s">
        <v>166</v>
      </c>
      <c r="E13" s="100">
        <v>-2E-3</v>
      </c>
      <c r="F13" s="95">
        <v>1.7150000000000001</v>
      </c>
      <c r="G13" s="64">
        <f>EXP(-F13/$M$9)</f>
        <v>5.5325864466104623E-2</v>
      </c>
      <c r="H13" s="64">
        <f t="shared" si="0"/>
        <v>5.533609513156329E-2</v>
      </c>
      <c r="I13" s="64">
        <v>5.5E-2</v>
      </c>
      <c r="J13" s="101">
        <v>4.5999999999999999E-2</v>
      </c>
      <c r="L13" s="93" t="s">
        <v>167</v>
      </c>
    </row>
    <row r="14" spans="2:14" x14ac:dyDescent="0.2">
      <c r="B14" s="135" t="s">
        <v>168</v>
      </c>
      <c r="C14" s="136" t="s">
        <v>169</v>
      </c>
      <c r="D14" s="98" t="s">
        <v>170</v>
      </c>
      <c r="E14" s="100">
        <v>2E-3</v>
      </c>
      <c r="F14" s="95">
        <v>5.0650000000000004</v>
      </c>
      <c r="G14" s="103">
        <f>EXP(-F14/$M$9)</f>
        <v>1.9383113681144482E-4</v>
      </c>
      <c r="H14" s="64">
        <f t="shared" si="0"/>
        <v>1.9386697938770326E-4</v>
      </c>
      <c r="I14" s="103">
        <v>0</v>
      </c>
      <c r="J14" s="104">
        <v>0</v>
      </c>
      <c r="L14" s="102" t="s">
        <v>171</v>
      </c>
    </row>
    <row r="15" spans="2:14" x14ac:dyDescent="0.2">
      <c r="B15" s="134"/>
      <c r="C15" s="133"/>
      <c r="D15" s="98" t="s">
        <v>172</v>
      </c>
      <c r="E15" s="100"/>
      <c r="F15" s="95"/>
      <c r="G15" s="64">
        <f>SUM(G11:G14)</f>
        <v>0.99981511768341547</v>
      </c>
      <c r="H15" s="126">
        <f>SUM(H11:H14)</f>
        <v>1</v>
      </c>
      <c r="I15" s="64">
        <f>SUM(I11:I14)</f>
        <v>0.99900000000000011</v>
      </c>
      <c r="J15" s="101">
        <f>SUM(J11:J14)</f>
        <v>1</v>
      </c>
      <c r="L15" s="93"/>
    </row>
    <row r="16" spans="2:14" x14ac:dyDescent="0.2">
      <c r="B16" s="134"/>
      <c r="D16" s="105" t="s">
        <v>173</v>
      </c>
      <c r="E16" s="106">
        <v>0.94499999999999995</v>
      </c>
      <c r="F16" s="107"/>
      <c r="G16" s="96"/>
      <c r="H16" s="96">
        <f>SUMPRODUCT($E11:$E14, H11:H14)</f>
        <v>0.94447422515957768</v>
      </c>
      <c r="I16" s="96">
        <f>SUMPRODUCT($E11:$E14, I11:I14)</f>
        <v>0.94400399999999995</v>
      </c>
      <c r="J16" s="96">
        <f>SUMPRODUCT($E11:$E14, J11:J14)</f>
        <v>0.9546960000000001</v>
      </c>
      <c r="L16" s="55"/>
    </row>
    <row r="17" spans="2:14" x14ac:dyDescent="0.2">
      <c r="B17" s="134"/>
      <c r="C17" s="134"/>
      <c r="D17" s="93"/>
      <c r="E17" s="94"/>
      <c r="F17" s="107"/>
      <c r="G17" s="64"/>
      <c r="H17" s="64"/>
      <c r="I17" s="96"/>
      <c r="K17" s="96"/>
      <c r="L17" s="55"/>
    </row>
    <row r="18" spans="2:14" x14ac:dyDescent="0.2">
      <c r="B18" s="58"/>
      <c r="C18" s="133" t="s">
        <v>149</v>
      </c>
      <c r="D18" s="12" t="s">
        <v>174</v>
      </c>
      <c r="E18" s="99" t="s">
        <v>151</v>
      </c>
      <c r="F18" s="95" t="s">
        <v>152</v>
      </c>
      <c r="G18" s="64" t="s">
        <v>153</v>
      </c>
      <c r="H18" s="64" t="s">
        <v>154</v>
      </c>
      <c r="I18" s="96" t="s">
        <v>155</v>
      </c>
      <c r="J18" s="64" t="s">
        <v>25</v>
      </c>
      <c r="K18" s="96" t="s">
        <v>26</v>
      </c>
      <c r="L18" s="93" t="s">
        <v>174</v>
      </c>
    </row>
    <row r="19" spans="2:14" x14ac:dyDescent="0.2">
      <c r="B19" s="134" t="s">
        <v>175</v>
      </c>
      <c r="C19" s="133" t="s">
        <v>176</v>
      </c>
      <c r="D19" s="98"/>
      <c r="E19" s="100">
        <v>1.006</v>
      </c>
      <c r="F19" s="95">
        <v>0.316</v>
      </c>
      <c r="G19" s="64">
        <f>EXP(-F19/$M$9)</f>
        <v>0.58664621951003182</v>
      </c>
      <c r="H19" s="64">
        <f>G19/G$24</f>
        <v>0.58696097006196024</v>
      </c>
      <c r="I19" s="109">
        <v>0.58699999999999997</v>
      </c>
      <c r="J19" s="101">
        <v>2E-3</v>
      </c>
      <c r="K19" s="101">
        <v>4.0000000000000001E-3</v>
      </c>
      <c r="L19" s="93" t="s">
        <v>177</v>
      </c>
      <c r="N19" s="148"/>
    </row>
    <row r="20" spans="2:14" x14ac:dyDescent="0.2">
      <c r="B20" s="134" t="s">
        <v>178</v>
      </c>
      <c r="C20" s="133" t="s">
        <v>179</v>
      </c>
      <c r="D20" s="98"/>
      <c r="E20" s="100">
        <v>0.996</v>
      </c>
      <c r="F20" s="95">
        <v>0.57299999999999995</v>
      </c>
      <c r="G20" s="64">
        <f>EXP(-F20/$M$9)</f>
        <v>0.38018830573460877</v>
      </c>
      <c r="H20" s="64">
        <f t="shared" ref="H20:H23" si="1">G20/G$24</f>
        <v>0.38039228638783212</v>
      </c>
      <c r="I20" s="109">
        <v>0.38</v>
      </c>
      <c r="J20" s="101">
        <v>0.998</v>
      </c>
      <c r="K20" s="101">
        <v>0.996</v>
      </c>
      <c r="L20" s="93" t="s">
        <v>180</v>
      </c>
    </row>
    <row r="21" spans="2:14" x14ac:dyDescent="0.2">
      <c r="B21" s="134" t="s">
        <v>181</v>
      </c>
      <c r="C21" s="133" t="s">
        <v>182</v>
      </c>
      <c r="D21" s="98"/>
      <c r="E21" s="100">
        <v>0</v>
      </c>
      <c r="F21" s="95">
        <v>2.0310000000000001</v>
      </c>
      <c r="G21" s="64">
        <f>EXP(-F21/$M$9)</f>
        <v>3.2456709230164679E-2</v>
      </c>
      <c r="H21" s="64">
        <f t="shared" si="1"/>
        <v>3.2474123076541302E-2</v>
      </c>
      <c r="I21" s="109">
        <v>3.2000000000000001E-2</v>
      </c>
      <c r="J21" s="101">
        <v>0</v>
      </c>
      <c r="K21" s="101">
        <v>0</v>
      </c>
      <c r="L21" s="93" t="s">
        <v>183</v>
      </c>
    </row>
    <row r="22" spans="2:14" x14ac:dyDescent="0.2">
      <c r="B22" s="134" t="s">
        <v>184</v>
      </c>
      <c r="C22" s="133" t="s">
        <v>185</v>
      </c>
      <c r="D22" s="98"/>
      <c r="E22" s="100">
        <v>1.998</v>
      </c>
      <c r="F22" s="95">
        <v>5.43</v>
      </c>
      <c r="G22" s="64">
        <f>EXP(-F22/$M$9)</f>
        <v>1.0468476496168337E-4</v>
      </c>
      <c r="H22" s="64">
        <f t="shared" si="1"/>
        <v>1.0474093098893178E-4</v>
      </c>
      <c r="I22" s="110">
        <v>0</v>
      </c>
      <c r="J22" s="101">
        <v>0</v>
      </c>
      <c r="K22" s="101">
        <v>0</v>
      </c>
      <c r="L22" s="93" t="s">
        <v>186</v>
      </c>
    </row>
    <row r="23" spans="2:14" x14ac:dyDescent="0.2">
      <c r="B23" s="135" t="s">
        <v>187</v>
      </c>
      <c r="C23" s="136" t="s">
        <v>188</v>
      </c>
      <c r="D23" s="98"/>
      <c r="E23" s="100">
        <v>2.0030000000000001</v>
      </c>
      <c r="F23" s="95">
        <v>5.6870000000000003</v>
      </c>
      <c r="G23" s="103">
        <f>EXP(-F23/$M$9)</f>
        <v>6.7843143113150963E-5</v>
      </c>
      <c r="H23" s="64">
        <f t="shared" si="1"/>
        <v>6.7879542677367458E-5</v>
      </c>
      <c r="I23" s="111">
        <v>0</v>
      </c>
      <c r="J23" s="104">
        <v>0</v>
      </c>
      <c r="K23" s="104">
        <v>0</v>
      </c>
      <c r="L23" s="102" t="s">
        <v>189</v>
      </c>
    </row>
    <row r="24" spans="2:14" x14ac:dyDescent="0.2">
      <c r="B24" s="134"/>
      <c r="C24" s="133"/>
      <c r="D24" s="98" t="s">
        <v>172</v>
      </c>
      <c r="E24" s="100"/>
      <c r="F24" s="95"/>
      <c r="G24" s="64">
        <f>SUM(G19:G23)</f>
        <v>0.99946376238288015</v>
      </c>
      <c r="H24" s="64">
        <f>SUM(H19:H23)</f>
        <v>1</v>
      </c>
      <c r="I24" s="110">
        <f>SUM(I19:I23)</f>
        <v>0.999</v>
      </c>
      <c r="J24" s="101">
        <f>SUM(J19:J23)</f>
        <v>1</v>
      </c>
      <c r="K24" s="101">
        <f>SUM(K19:K23)</f>
        <v>1</v>
      </c>
      <c r="L24" s="93"/>
    </row>
    <row r="25" spans="2:14" x14ac:dyDescent="0.2">
      <c r="B25" s="134"/>
      <c r="D25" s="105" t="s">
        <v>173</v>
      </c>
      <c r="E25" s="106">
        <v>0.97</v>
      </c>
      <c r="F25" s="95"/>
      <c r="G25" s="96"/>
      <c r="H25" s="96">
        <f>SUMPRODUCT($E19:$E23, H19:H23)</f>
        <v>0.96969868822871153</v>
      </c>
      <c r="I25" s="96">
        <f>SUMPRODUCT($E19:$E23, I19:I23)</f>
        <v>0.96900199999999992</v>
      </c>
      <c r="J25" s="96">
        <f>SUMPRODUCT($E19:$E23, J19:J23)</f>
        <v>0.99602000000000002</v>
      </c>
      <c r="K25" s="96">
        <f>SUMPRODUCT($E19:$E23, K19:K23)</f>
        <v>0.99604000000000004</v>
      </c>
      <c r="L25" s="55"/>
      <c r="M25" s="96"/>
    </row>
    <row r="26" spans="2:14" x14ac:dyDescent="0.2">
      <c r="B26" s="58"/>
      <c r="D26" s="93"/>
      <c r="E26" s="94"/>
      <c r="F26" s="107"/>
      <c r="G26" s="64"/>
      <c r="H26" s="64"/>
      <c r="I26" s="96"/>
      <c r="J26" s="64"/>
      <c r="K26" s="96"/>
      <c r="L26" s="55"/>
    </row>
    <row r="27" spans="2:14" x14ac:dyDescent="0.2">
      <c r="B27" s="58"/>
      <c r="C27" s="133" t="s">
        <v>149</v>
      </c>
      <c r="D27" s="93" t="s">
        <v>190</v>
      </c>
      <c r="E27" s="99" t="s">
        <v>151</v>
      </c>
      <c r="F27" s="95" t="s">
        <v>152</v>
      </c>
      <c r="G27" s="64" t="s">
        <v>153</v>
      </c>
      <c r="H27" s="64" t="s">
        <v>154</v>
      </c>
      <c r="I27" s="96" t="s">
        <v>155</v>
      </c>
      <c r="J27" s="64" t="s">
        <v>27</v>
      </c>
      <c r="K27" s="96" t="s">
        <v>28</v>
      </c>
      <c r="L27" s="93" t="s">
        <v>190</v>
      </c>
    </row>
    <row r="28" spans="2:14" x14ac:dyDescent="0.2">
      <c r="B28" s="134" t="s">
        <v>191</v>
      </c>
      <c r="C28" s="133" t="s">
        <v>192</v>
      </c>
      <c r="D28" s="98"/>
      <c r="E28" s="100">
        <v>-2E-3</v>
      </c>
      <c r="F28" s="95">
        <v>5.8000000000000003E-2</v>
      </c>
      <c r="G28" s="64">
        <f>EXP(-F28/$M$9)</f>
        <v>0.90674837280274623</v>
      </c>
      <c r="H28" s="64">
        <f>G28/G$31</f>
        <v>0.90636213769221163</v>
      </c>
      <c r="I28" s="112">
        <v>0.90700000000000003</v>
      </c>
      <c r="J28" s="101">
        <v>0.90700000000000003</v>
      </c>
      <c r="K28" s="101">
        <v>0.77700000000000002</v>
      </c>
      <c r="L28" s="93" t="s">
        <v>193</v>
      </c>
    </row>
    <row r="29" spans="2:14" x14ac:dyDescent="0.2">
      <c r="B29" s="134" t="s">
        <v>194</v>
      </c>
      <c r="C29" s="133" t="s">
        <v>195</v>
      </c>
      <c r="D29" s="98"/>
      <c r="E29" s="100">
        <v>1</v>
      </c>
      <c r="F29" s="95">
        <v>1.4039999999999999</v>
      </c>
      <c r="G29" s="64">
        <f>EXP(-F29/$M$9)</f>
        <v>9.351623202920914E-2</v>
      </c>
      <c r="H29" s="64">
        <f t="shared" ref="H29:H30" si="2">G29/G$31</f>
        <v>9.3476398208385242E-2</v>
      </c>
      <c r="I29" s="112">
        <v>9.2999999999999999E-2</v>
      </c>
      <c r="J29" s="101">
        <v>9.2999999999999999E-2</v>
      </c>
      <c r="K29" s="101">
        <v>0.223</v>
      </c>
      <c r="L29" s="93" t="s">
        <v>196</v>
      </c>
    </row>
    <row r="30" spans="2:14" x14ac:dyDescent="0.2">
      <c r="B30" s="135" t="s">
        <v>197</v>
      </c>
      <c r="C30" s="136" t="s">
        <v>198</v>
      </c>
      <c r="D30" s="98"/>
      <c r="E30" s="100">
        <v>0.999</v>
      </c>
      <c r="F30" s="95">
        <v>5.173</v>
      </c>
      <c r="G30" s="103">
        <f>EXP(-F30/$M$9)</f>
        <v>1.6153290534911193E-4</v>
      </c>
      <c r="H30" s="64">
        <f t="shared" si="2"/>
        <v>1.6146409940313638E-4</v>
      </c>
      <c r="I30" s="113">
        <v>0</v>
      </c>
      <c r="J30" s="104">
        <v>0</v>
      </c>
      <c r="K30" s="113">
        <v>0</v>
      </c>
      <c r="L30" s="102" t="s">
        <v>199</v>
      </c>
    </row>
    <row r="31" spans="2:14" x14ac:dyDescent="0.2">
      <c r="B31" s="134"/>
      <c r="C31" s="133"/>
      <c r="D31" s="98" t="s">
        <v>172</v>
      </c>
      <c r="E31" s="100"/>
      <c r="F31" s="95"/>
      <c r="G31" s="64">
        <f>SUM(G28:G30)</f>
        <v>1.0004261377373045</v>
      </c>
      <c r="H31" s="64">
        <f>SUM(H28:H30)</f>
        <v>1</v>
      </c>
      <c r="I31" s="112">
        <f>SUM(I28:I30)</f>
        <v>1</v>
      </c>
      <c r="J31" s="101">
        <f>SUM(J28:J30)</f>
        <v>1</v>
      </c>
      <c r="K31" s="112">
        <f>SUM(K28:K30)</f>
        <v>1</v>
      </c>
      <c r="L31" s="93"/>
    </row>
    <row r="32" spans="2:14" x14ac:dyDescent="0.2">
      <c r="B32" s="134"/>
      <c r="D32" s="105" t="s">
        <v>173</v>
      </c>
      <c r="E32" s="106">
        <v>9.0999999999999998E-2</v>
      </c>
      <c r="F32" s="95"/>
      <c r="G32" s="96"/>
      <c r="H32" s="96">
        <f xml:space="preserve"> SUMPRODUCT($E28:$E30,H28:H30)</f>
        <v>9.1824976568304545E-2</v>
      </c>
      <c r="I32" s="96">
        <f xml:space="preserve"> SUMPRODUCT($E28:$E30,I28:I30)</f>
        <v>9.1186000000000003E-2</v>
      </c>
      <c r="J32" s="96">
        <f>SUMPRODUCT($E28:$E30, J28:J30)</f>
        <v>9.1186000000000003E-2</v>
      </c>
      <c r="K32" s="96">
        <f t="shared" ref="K32" si="3">SUMPRODUCT($E28:$E30, K28:K30)</f>
        <v>0.221446</v>
      </c>
      <c r="L32" s="55"/>
    </row>
    <row r="33" spans="2:15" x14ac:dyDescent="0.2">
      <c r="B33" s="134"/>
      <c r="C33" s="137"/>
      <c r="D33" s="105"/>
      <c r="E33" s="100"/>
      <c r="F33" s="107"/>
      <c r="G33" s="64"/>
      <c r="H33" s="64"/>
      <c r="I33" s="96"/>
      <c r="J33" s="64"/>
      <c r="K33" s="96"/>
      <c r="L33" s="93"/>
    </row>
    <row r="34" spans="2:15" x14ac:dyDescent="0.2">
      <c r="B34" s="138"/>
      <c r="C34" s="138"/>
      <c r="D34" s="190" t="s">
        <v>200</v>
      </c>
      <c r="E34" s="191"/>
      <c r="F34" s="191"/>
      <c r="G34" s="120"/>
      <c r="H34" s="120"/>
      <c r="I34" s="120"/>
      <c r="J34" s="120"/>
      <c r="K34" s="120"/>
      <c r="L34" s="120"/>
      <c r="M34" s="120"/>
    </row>
    <row r="35" spans="2:15" x14ac:dyDescent="0.2">
      <c r="B35" s="58"/>
      <c r="C35" s="133" t="s">
        <v>149</v>
      </c>
      <c r="D35" s="93" t="s">
        <v>201</v>
      </c>
      <c r="E35" s="99" t="s">
        <v>151</v>
      </c>
      <c r="F35" s="95" t="s">
        <v>152</v>
      </c>
      <c r="G35" s="64" t="s">
        <v>153</v>
      </c>
      <c r="H35" s="64" t="s">
        <v>154</v>
      </c>
      <c r="I35" s="96" t="s">
        <v>155</v>
      </c>
      <c r="J35" s="64" t="s">
        <v>30</v>
      </c>
      <c r="L35" s="93" t="s">
        <v>201</v>
      </c>
    </row>
    <row r="36" spans="2:15" x14ac:dyDescent="0.2">
      <c r="B36" s="134" t="s">
        <v>202</v>
      </c>
      <c r="C36" s="133" t="s">
        <v>203</v>
      </c>
      <c r="D36" s="98"/>
      <c r="E36" s="100">
        <v>1.0029999999999999</v>
      </c>
      <c r="F36" s="95">
        <v>0.34200000000000003</v>
      </c>
      <c r="G36" s="64">
        <f>EXP(-F36/$M$9)</f>
        <v>0.56145975027598871</v>
      </c>
      <c r="H36" s="64">
        <f>G36/G$38</f>
        <v>0.56129354556837563</v>
      </c>
      <c r="I36" s="112">
        <v>0.56100000000000005</v>
      </c>
      <c r="J36" s="101">
        <v>0.74299999999999999</v>
      </c>
      <c r="L36" s="93" t="s">
        <v>202</v>
      </c>
      <c r="O36" s="148"/>
    </row>
    <row r="37" spans="2:15" x14ac:dyDescent="0.2">
      <c r="B37" s="135" t="s">
        <v>204</v>
      </c>
      <c r="C37" s="136" t="s">
        <v>205</v>
      </c>
      <c r="D37" s="98"/>
      <c r="E37" s="100">
        <v>-1E-3</v>
      </c>
      <c r="F37" s="95">
        <v>0.48799999999999999</v>
      </c>
      <c r="G37" s="103">
        <f>EXP(-F37/$M$9)</f>
        <v>0.43883635985911856</v>
      </c>
      <c r="H37" s="64">
        <f>G37/G$38</f>
        <v>0.43870645443162437</v>
      </c>
      <c r="I37" s="113">
        <v>0.439</v>
      </c>
      <c r="J37" s="104">
        <v>0.25700000000000001</v>
      </c>
      <c r="L37" s="102" t="s">
        <v>206</v>
      </c>
    </row>
    <row r="38" spans="2:15" x14ac:dyDescent="0.2">
      <c r="B38" s="134"/>
      <c r="C38" s="133"/>
      <c r="D38" s="98" t="s">
        <v>172</v>
      </c>
      <c r="E38" s="100"/>
      <c r="F38" s="95"/>
      <c r="G38" s="64">
        <f>SUM(G36:G37)</f>
        <v>1.0002961101351073</v>
      </c>
      <c r="H38" s="64">
        <f>SUM(H36:H37)</f>
        <v>1</v>
      </c>
      <c r="I38" s="112">
        <f>SUM(I36:I37)</f>
        <v>1</v>
      </c>
      <c r="J38" s="101">
        <f>SUM(J36:J37)</f>
        <v>1</v>
      </c>
      <c r="L38" s="93"/>
    </row>
    <row r="39" spans="2:15" x14ac:dyDescent="0.2">
      <c r="B39" s="58"/>
      <c r="C39" s="133"/>
      <c r="D39" s="105" t="s">
        <v>173</v>
      </c>
      <c r="E39" s="106">
        <v>0.56299999999999994</v>
      </c>
      <c r="F39" s="95"/>
      <c r="G39" s="96"/>
      <c r="H39" s="96">
        <f>SUMPRODUCT($E36:$E37, H36:H37)</f>
        <v>0.56253871975064906</v>
      </c>
      <c r="I39" s="96">
        <f>SUMPRODUCT($E36:$E37, I36:I37)</f>
        <v>0.56224400000000008</v>
      </c>
      <c r="J39" s="96">
        <f>SUMPRODUCT($E36:$E37, J36:J37)</f>
        <v>0.74497199999999997</v>
      </c>
      <c r="L39" s="55"/>
    </row>
    <row r="40" spans="2:15" x14ac:dyDescent="0.2">
      <c r="B40" s="58"/>
      <c r="C40" s="133"/>
      <c r="E40" s="94"/>
      <c r="F40" s="95"/>
      <c r="G40" s="64"/>
      <c r="H40" s="64"/>
      <c r="I40" s="96"/>
      <c r="J40" s="64"/>
      <c r="L40" s="55"/>
    </row>
    <row r="41" spans="2:15" x14ac:dyDescent="0.2">
      <c r="B41" s="58"/>
      <c r="C41" s="133" t="s">
        <v>149</v>
      </c>
      <c r="D41" s="93" t="s">
        <v>207</v>
      </c>
      <c r="E41" s="99" t="s">
        <v>151</v>
      </c>
      <c r="F41" s="95" t="s">
        <v>152</v>
      </c>
      <c r="G41" s="64" t="s">
        <v>153</v>
      </c>
      <c r="H41" s="64" t="s">
        <v>154</v>
      </c>
      <c r="I41" s="96" t="s">
        <v>155</v>
      </c>
      <c r="J41" s="64" t="s">
        <v>31</v>
      </c>
      <c r="L41" s="93" t="s">
        <v>207</v>
      </c>
    </row>
    <row r="42" spans="2:15" x14ac:dyDescent="0.2">
      <c r="B42" s="134" t="s">
        <v>208</v>
      </c>
      <c r="C42" s="133" t="s">
        <v>209</v>
      </c>
      <c r="D42" s="98"/>
      <c r="E42" s="100">
        <v>1.002</v>
      </c>
      <c r="F42" s="95">
        <v>0</v>
      </c>
      <c r="G42" s="64">
        <f>EXP(-F42/$M$9)</f>
        <v>1</v>
      </c>
      <c r="H42" s="64">
        <f>G42/G$45</f>
        <v>0.9986620476074517</v>
      </c>
      <c r="I42" s="101">
        <v>1</v>
      </c>
      <c r="J42" s="101">
        <v>1</v>
      </c>
      <c r="L42" s="93" t="s">
        <v>208</v>
      </c>
    </row>
    <row r="43" spans="2:15" x14ac:dyDescent="0.2">
      <c r="B43" s="134" t="s">
        <v>210</v>
      </c>
      <c r="C43" s="133" t="s">
        <v>211</v>
      </c>
      <c r="D43" s="98"/>
      <c r="E43" s="100">
        <v>1E-3</v>
      </c>
      <c r="F43" s="95">
        <v>3.9670000000000001</v>
      </c>
      <c r="G43" s="64">
        <f>EXP(-F43/$M$9)</f>
        <v>1.2366382746617074E-3</v>
      </c>
      <c r="H43" s="64">
        <f t="shared" ref="H43:H44" si="4">G43/G$45</f>
        <v>1.2349837115234071E-3</v>
      </c>
      <c r="I43" s="101">
        <v>0</v>
      </c>
      <c r="J43" s="101">
        <v>0</v>
      </c>
      <c r="L43" s="93" t="s">
        <v>212</v>
      </c>
    </row>
    <row r="44" spans="2:15" x14ac:dyDescent="0.2">
      <c r="B44" s="135" t="s">
        <v>213</v>
      </c>
      <c r="C44" s="136" t="s">
        <v>214</v>
      </c>
      <c r="D44" s="98"/>
      <c r="E44" s="100">
        <v>1.996</v>
      </c>
      <c r="F44" s="95">
        <v>5.4390000000000001</v>
      </c>
      <c r="G44" s="103">
        <f>EXP(-F44/$M$9)</f>
        <v>1.0310663279082347E-4</v>
      </c>
      <c r="H44" s="64">
        <f t="shared" si="4"/>
        <v>1.029686810247934E-4</v>
      </c>
      <c r="I44" s="104">
        <v>0</v>
      </c>
      <c r="J44" s="104">
        <v>0</v>
      </c>
      <c r="L44" s="102" t="s">
        <v>215</v>
      </c>
    </row>
    <row r="45" spans="2:15" x14ac:dyDescent="0.2">
      <c r="B45" s="134"/>
      <c r="C45" s="133"/>
      <c r="D45" s="98" t="s">
        <v>172</v>
      </c>
      <c r="E45" s="100"/>
      <c r="F45" s="95"/>
      <c r="G45" s="64">
        <f>SUM(G42:G44)</f>
        <v>1.0013397449074526</v>
      </c>
      <c r="H45" s="64">
        <f>SUM(H42:H44)</f>
        <v>0.99999999999999989</v>
      </c>
      <c r="I45" s="101">
        <f>SUM(I42:I44)</f>
        <v>1</v>
      </c>
      <c r="J45" s="101">
        <f>SUM(J42:J44)</f>
        <v>1</v>
      </c>
      <c r="L45" s="93"/>
    </row>
    <row r="46" spans="2:15" x14ac:dyDescent="0.2">
      <c r="D46" s="105" t="s">
        <v>173</v>
      </c>
      <c r="E46" s="106">
        <v>1.0009999999999999</v>
      </c>
      <c r="F46" s="107"/>
      <c r="G46" s="96"/>
      <c r="H46" s="96">
        <f>SUMPRODUCT($E42:$E44, H42:H44)</f>
        <v>1.0008661321737036</v>
      </c>
      <c r="I46" s="96">
        <f>SUMPRODUCT($E42:$E44, I42:I44)</f>
        <v>1.002</v>
      </c>
      <c r="J46" s="96">
        <f>SUMPRODUCT($E42:$E44, J42:J44)</f>
        <v>1.002</v>
      </c>
      <c r="L46" s="55"/>
    </row>
    <row r="47" spans="2:15" x14ac:dyDescent="0.2">
      <c r="B47" s="134"/>
      <c r="D47" s="93"/>
      <c r="E47" s="94"/>
      <c r="F47" s="95"/>
      <c r="G47" s="64"/>
      <c r="H47" s="64"/>
      <c r="I47" s="96"/>
      <c r="J47" s="64"/>
      <c r="K47" s="96"/>
      <c r="L47" s="55"/>
    </row>
    <row r="48" spans="2:15" x14ac:dyDescent="0.2">
      <c r="B48" s="58"/>
      <c r="C48" s="133" t="s">
        <v>149</v>
      </c>
      <c r="D48" s="93" t="s">
        <v>216</v>
      </c>
      <c r="E48" s="99" t="s">
        <v>151</v>
      </c>
      <c r="F48" s="95" t="s">
        <v>152</v>
      </c>
      <c r="G48" s="64" t="s">
        <v>153</v>
      </c>
      <c r="H48" s="64" t="s">
        <v>154</v>
      </c>
      <c r="I48" s="96" t="s">
        <v>155</v>
      </c>
      <c r="J48" s="64" t="s">
        <v>32</v>
      </c>
      <c r="K48" s="96" t="s">
        <v>33</v>
      </c>
      <c r="L48" s="93" t="s">
        <v>216</v>
      </c>
    </row>
    <row r="49" spans="2:12" x14ac:dyDescent="0.2">
      <c r="B49" s="134" t="s">
        <v>217</v>
      </c>
      <c r="C49" s="133" t="s">
        <v>218</v>
      </c>
      <c r="D49" s="98"/>
      <c r="E49" s="100">
        <v>1.998</v>
      </c>
      <c r="F49" s="95">
        <v>0.28299999999999997</v>
      </c>
      <c r="G49" s="64">
        <f>EXP(-F49/$M$9)</f>
        <v>0.62024722476490501</v>
      </c>
      <c r="H49" s="64">
        <f>G49/G$53</f>
        <v>0.62041131668252469</v>
      </c>
      <c r="I49" s="101">
        <v>0.62</v>
      </c>
      <c r="J49" s="101">
        <v>0</v>
      </c>
      <c r="K49" s="112">
        <v>0</v>
      </c>
      <c r="L49" s="93" t="s">
        <v>219</v>
      </c>
    </row>
    <row r="50" spans="2:12" x14ac:dyDescent="0.2">
      <c r="B50" s="134" t="s">
        <v>220</v>
      </c>
      <c r="C50" s="133" t="s">
        <v>221</v>
      </c>
      <c r="D50" s="98"/>
      <c r="E50" s="100">
        <v>0.995</v>
      </c>
      <c r="F50" s="95">
        <v>0.58499999999999996</v>
      </c>
      <c r="G50" s="64">
        <f>EXP(-F50/$M$9)</f>
        <v>0.37256574050686803</v>
      </c>
      <c r="H50" s="64">
        <f t="shared" ref="H50:H52" si="5">G50/G$53</f>
        <v>0.37266430608581491</v>
      </c>
      <c r="I50" s="101">
        <v>0.373</v>
      </c>
      <c r="J50" s="101">
        <v>1</v>
      </c>
      <c r="K50" s="112">
        <v>1</v>
      </c>
      <c r="L50" s="93" t="s">
        <v>222</v>
      </c>
    </row>
    <row r="51" spans="2:12" x14ac:dyDescent="0.2">
      <c r="B51" s="134" t="s">
        <v>223</v>
      </c>
      <c r="C51" s="133" t="s">
        <v>224</v>
      </c>
      <c r="D51" s="98"/>
      <c r="E51" s="100">
        <v>3.0000000000000001E-3</v>
      </c>
      <c r="F51" s="95">
        <v>3.1920000000000002</v>
      </c>
      <c r="G51" s="64">
        <f>EXP(-F51/$M$9)</f>
        <v>4.5741162324412108E-3</v>
      </c>
      <c r="H51" s="64">
        <f t="shared" si="5"/>
        <v>4.575326355556685E-3</v>
      </c>
      <c r="I51" s="101">
        <v>5.0000000000000001E-3</v>
      </c>
      <c r="J51" s="101">
        <v>0</v>
      </c>
      <c r="K51" s="112">
        <v>0</v>
      </c>
      <c r="L51" s="93" t="s">
        <v>225</v>
      </c>
    </row>
    <row r="52" spans="2:12" x14ac:dyDescent="0.2">
      <c r="B52" s="135" t="s">
        <v>226</v>
      </c>
      <c r="C52" s="136" t="s">
        <v>227</v>
      </c>
      <c r="D52" s="98"/>
      <c r="E52" s="100">
        <v>1.002</v>
      </c>
      <c r="F52" s="95">
        <v>3.5870000000000002</v>
      </c>
      <c r="G52" s="103">
        <f>EXP(-F52/$M$9)</f>
        <v>2.3484295781801821E-3</v>
      </c>
      <c r="H52" s="64">
        <f t="shared" si="5"/>
        <v>2.3490508761038033E-3</v>
      </c>
      <c r="I52" s="104">
        <v>2E-3</v>
      </c>
      <c r="J52" s="104">
        <v>0</v>
      </c>
      <c r="K52" s="113">
        <v>0</v>
      </c>
      <c r="L52" s="102" t="s">
        <v>217</v>
      </c>
    </row>
    <row r="53" spans="2:12" x14ac:dyDescent="0.2">
      <c r="B53" s="134"/>
      <c r="C53" s="133"/>
      <c r="D53" s="98" t="s">
        <v>172</v>
      </c>
      <c r="E53" s="100"/>
      <c r="F53" s="95"/>
      <c r="G53" s="64">
        <f>SUM(G49:G52)</f>
        <v>0.99973551108239433</v>
      </c>
      <c r="H53" s="64">
        <f>SUM(H49:H52)</f>
        <v>1</v>
      </c>
      <c r="I53" s="101">
        <f>SUM(I49:I52)</f>
        <v>1</v>
      </c>
      <c r="J53" s="101">
        <f>SUM(J49:J52)</f>
        <v>1</v>
      </c>
      <c r="K53" s="112">
        <f>SUM(K49:K52)</f>
        <v>1</v>
      </c>
      <c r="L53" s="93"/>
    </row>
    <row r="54" spans="2:12" x14ac:dyDescent="0.2">
      <c r="B54" s="134"/>
      <c r="D54" s="105" t="s">
        <v>173</v>
      </c>
      <c r="E54" s="106">
        <v>1.613</v>
      </c>
      <c r="F54" s="107"/>
      <c r="G54" s="96"/>
      <c r="H54" s="96">
        <f>SUMPRODUCT($E49:$E52, H49:H52)</f>
        <v>1.6127502702439929</v>
      </c>
      <c r="I54" s="96">
        <f>SUMPRODUCT($E49:$E52, I49:I52)</f>
        <v>1.6119140000000001</v>
      </c>
      <c r="J54" s="96">
        <f t="shared" ref="J54:K54" si="6">SUMPRODUCT($E49:$E52, J49:J52)</f>
        <v>0.995</v>
      </c>
      <c r="K54" s="96">
        <f t="shared" si="6"/>
        <v>0.995</v>
      </c>
      <c r="L54" s="93"/>
    </row>
    <row r="55" spans="2:12" x14ac:dyDescent="0.2">
      <c r="B55" s="58"/>
      <c r="C55" s="137"/>
      <c r="D55" s="105"/>
      <c r="E55" s="108"/>
      <c r="F55" s="95"/>
      <c r="G55" s="64"/>
      <c r="H55" s="64"/>
      <c r="I55" s="96"/>
      <c r="J55" s="64"/>
      <c r="K55" s="96"/>
      <c r="L55" s="55"/>
    </row>
    <row r="57" spans="2:12" x14ac:dyDescent="0.2">
      <c r="B57" s="139"/>
      <c r="C57" s="138"/>
      <c r="D57" s="192" t="s">
        <v>228</v>
      </c>
      <c r="E57" s="124"/>
      <c r="F57" s="125"/>
      <c r="G57" s="126"/>
      <c r="H57" s="126"/>
      <c r="I57" s="127"/>
      <c r="J57" s="127"/>
      <c r="K57" s="120"/>
      <c r="L57" s="120"/>
    </row>
    <row r="58" spans="2:12" x14ac:dyDescent="0.2">
      <c r="B58" s="58"/>
      <c r="C58" s="133" t="s">
        <v>149</v>
      </c>
      <c r="D58" s="93" t="s">
        <v>229</v>
      </c>
      <c r="E58" s="99" t="s">
        <v>151</v>
      </c>
      <c r="F58" s="95" t="s">
        <v>152</v>
      </c>
      <c r="G58" s="64" t="s">
        <v>153</v>
      </c>
      <c r="H58" s="64" t="s">
        <v>154</v>
      </c>
      <c r="I58" s="96" t="s">
        <v>155</v>
      </c>
      <c r="J58" s="96" t="s">
        <v>35</v>
      </c>
      <c r="L58" s="93" t="s">
        <v>229</v>
      </c>
    </row>
    <row r="59" spans="2:12" x14ac:dyDescent="0.2">
      <c r="B59" s="134" t="s">
        <v>230</v>
      </c>
      <c r="C59" s="133" t="s">
        <v>231</v>
      </c>
      <c r="D59" s="98"/>
      <c r="E59" s="100">
        <v>0.997</v>
      </c>
      <c r="F59" s="95">
        <v>0.25600000000000001</v>
      </c>
      <c r="G59" s="114">
        <f>EXP(-F59/$M$9)</f>
        <v>0.6491655496834301</v>
      </c>
      <c r="H59" s="64">
        <f>G59/G$61</f>
        <v>0.9753001805470789</v>
      </c>
      <c r="I59" s="114">
        <v>0.97499999999999998</v>
      </c>
      <c r="J59" s="101">
        <v>0.99399999999999999</v>
      </c>
      <c r="L59" s="93" t="s">
        <v>230</v>
      </c>
    </row>
    <row r="60" spans="2:12" x14ac:dyDescent="0.2">
      <c r="B60" s="135" t="s">
        <v>232</v>
      </c>
      <c r="C60" s="136" t="s">
        <v>233</v>
      </c>
      <c r="D60" s="98"/>
      <c r="E60" s="100">
        <v>1E-3</v>
      </c>
      <c r="F60" s="95">
        <v>2.4340000000000002</v>
      </c>
      <c r="G60" s="115">
        <f>EXP(-F60/$M$9)</f>
        <v>1.6440345436256113E-2</v>
      </c>
      <c r="H60" s="64">
        <f>G60/G$61</f>
        <v>2.4699819452920987E-2</v>
      </c>
      <c r="I60" s="115">
        <v>2.5000000000000001E-2</v>
      </c>
      <c r="J60" s="104">
        <v>6.0000000000000001E-3</v>
      </c>
      <c r="L60" s="102" t="s">
        <v>234</v>
      </c>
    </row>
    <row r="61" spans="2:12" x14ac:dyDescent="0.2">
      <c r="B61" s="134"/>
      <c r="C61" s="133"/>
      <c r="D61" s="98" t="s">
        <v>172</v>
      </c>
      <c r="E61" s="100"/>
      <c r="F61" s="95"/>
      <c r="G61" s="181">
        <f>SUM(G59:G60)</f>
        <v>0.66560589511968626</v>
      </c>
      <c r="H61" s="181">
        <f>SUM(H59:H60)</f>
        <v>0.99999999999999989</v>
      </c>
      <c r="I61" s="181">
        <f>SUM(I59:I60)</f>
        <v>1</v>
      </c>
      <c r="J61" s="101">
        <f>SUM(J59:J60)</f>
        <v>1</v>
      </c>
      <c r="L61" s="93"/>
    </row>
    <row r="62" spans="2:12" x14ac:dyDescent="0.2">
      <c r="B62" s="58"/>
      <c r="D62" s="105" t="s">
        <v>173</v>
      </c>
      <c r="E62" s="106">
        <v>0.97299999999999998</v>
      </c>
      <c r="F62" s="95"/>
      <c r="G62" s="96"/>
      <c r="H62" s="96">
        <f>SUMPRODUCT($E59:$E60, H59:H60)</f>
        <v>0.97239897982489065</v>
      </c>
      <c r="I62" s="96">
        <f>SUMPRODUCT($E59:$E60, I59:I60)</f>
        <v>0.97210000000000008</v>
      </c>
      <c r="J62" s="96">
        <f>SUMPRODUCT($E59:$E60, J59:J60)</f>
        <v>0.9910239999999999</v>
      </c>
      <c r="L62" s="55"/>
    </row>
    <row r="63" spans="2:12" x14ac:dyDescent="0.2">
      <c r="B63" s="58"/>
      <c r="C63" s="137"/>
      <c r="D63" s="105"/>
      <c r="E63" s="94"/>
      <c r="F63" s="107"/>
      <c r="G63" s="64"/>
      <c r="H63" s="64"/>
      <c r="I63" s="96"/>
      <c r="J63" s="64"/>
      <c r="L63" s="55"/>
    </row>
    <row r="65" spans="2:12" x14ac:dyDescent="0.2">
      <c r="B65" s="139"/>
      <c r="C65" s="139"/>
      <c r="D65" s="128" t="s">
        <v>235</v>
      </c>
      <c r="E65" s="129"/>
      <c r="F65" s="125"/>
      <c r="G65" s="126"/>
      <c r="H65" s="126"/>
      <c r="I65" s="127"/>
      <c r="J65" s="126"/>
      <c r="K65" s="127"/>
      <c r="L65" s="122"/>
    </row>
    <row r="66" spans="2:12" x14ac:dyDescent="0.2">
      <c r="B66" s="58"/>
      <c r="C66" s="133" t="s">
        <v>149</v>
      </c>
      <c r="D66" s="93" t="s">
        <v>236</v>
      </c>
      <c r="E66" s="99" t="s">
        <v>151</v>
      </c>
      <c r="F66" s="95" t="s">
        <v>152</v>
      </c>
      <c r="G66" s="64" t="s">
        <v>153</v>
      </c>
      <c r="H66" s="64" t="s">
        <v>154</v>
      </c>
      <c r="I66" s="96" t="s">
        <v>155</v>
      </c>
      <c r="J66" s="64" t="s">
        <v>237</v>
      </c>
      <c r="K66" s="96" t="s">
        <v>237</v>
      </c>
      <c r="L66" s="93" t="s">
        <v>236</v>
      </c>
    </row>
    <row r="67" spans="2:12" x14ac:dyDescent="0.2">
      <c r="B67" s="134" t="s">
        <v>238</v>
      </c>
      <c r="C67" s="133" t="s">
        <v>239</v>
      </c>
      <c r="D67" s="98"/>
      <c r="E67" s="100">
        <v>1.004</v>
      </c>
      <c r="F67" s="95">
        <v>0.316</v>
      </c>
      <c r="G67" s="64">
        <f>EXP(-F67/$M$9)</f>
        <v>0.58664621951003182</v>
      </c>
      <c r="H67" s="64">
        <f>G67/G$70</f>
        <v>0.58703010198424066</v>
      </c>
      <c r="I67" s="109">
        <v>0.58699999999999997</v>
      </c>
      <c r="J67" s="101">
        <f>0*2</f>
        <v>0</v>
      </c>
      <c r="K67" s="101">
        <v>0.193</v>
      </c>
      <c r="L67" s="93" t="s">
        <v>238</v>
      </c>
    </row>
    <row r="68" spans="2:12" x14ac:dyDescent="0.2">
      <c r="B68" s="134" t="s">
        <v>240</v>
      </c>
      <c r="C68" s="133" t="s">
        <v>241</v>
      </c>
      <c r="D68" s="98"/>
      <c r="E68" s="100">
        <v>1.002</v>
      </c>
      <c r="F68" s="95">
        <v>0.57299999999999995</v>
      </c>
      <c r="G68" s="64">
        <f>EXP(-F68/$M$9)</f>
        <v>0.38018830573460877</v>
      </c>
      <c r="H68" s="64">
        <f t="shared" ref="H68:H69" si="7">G68/G$70</f>
        <v>0.38043708877047755</v>
      </c>
      <c r="I68" s="109">
        <v>0.38100000000000001</v>
      </c>
      <c r="J68" s="101">
        <f>0.426+0.574</f>
        <v>1</v>
      </c>
      <c r="K68" s="101">
        <v>0.68899999999999995</v>
      </c>
      <c r="L68" s="93" t="s">
        <v>240</v>
      </c>
    </row>
    <row r="69" spans="2:12" x14ac:dyDescent="0.2">
      <c r="B69" s="135" t="s">
        <v>242</v>
      </c>
      <c r="C69" s="136" t="s">
        <v>243</v>
      </c>
      <c r="D69" s="98"/>
      <c r="E69" s="100">
        <v>-2E-3</v>
      </c>
      <c r="F69" s="95">
        <v>2.0299999999999998</v>
      </c>
      <c r="G69" s="103">
        <f>EXP(-F69/$M$9)</f>
        <v>3.2511534739487542E-2</v>
      </c>
      <c r="H69" s="64">
        <f t="shared" si="7"/>
        <v>3.2532809245281756E-2</v>
      </c>
      <c r="I69" s="116">
        <v>3.3000000000000002E-2</v>
      </c>
      <c r="J69" s="104">
        <f>0*2</f>
        <v>0</v>
      </c>
      <c r="K69" s="104">
        <v>0.11799999999999999</v>
      </c>
      <c r="L69" s="102" t="s">
        <v>244</v>
      </c>
    </row>
    <row r="70" spans="2:12" x14ac:dyDescent="0.2">
      <c r="B70" s="134"/>
      <c r="C70" s="133"/>
      <c r="D70" s="98" t="s">
        <v>172</v>
      </c>
      <c r="E70" s="100"/>
      <c r="F70" s="95"/>
      <c r="G70" s="64">
        <f>SUM(G67:G69)</f>
        <v>0.99934605998412818</v>
      </c>
      <c r="H70" s="64">
        <f>SUM(H67:H69)</f>
        <v>1</v>
      </c>
      <c r="I70" s="109">
        <f>SUM(I67:I69)</f>
        <v>1.0009999999999999</v>
      </c>
      <c r="J70" s="101">
        <f>SUM(J67:J69)</f>
        <v>1</v>
      </c>
      <c r="K70" s="101">
        <f>SUM(K67:K69)</f>
        <v>0.99999999999999989</v>
      </c>
      <c r="L70" s="93"/>
    </row>
    <row r="71" spans="2:12" x14ac:dyDescent="0.2">
      <c r="B71" s="58"/>
      <c r="D71" s="105" t="s">
        <v>173</v>
      </c>
      <c r="E71" s="106">
        <v>0.97099999999999997</v>
      </c>
      <c r="F71" s="95"/>
      <c r="G71" s="96"/>
      <c r="H71" s="96">
        <f>SUMPRODUCT($E67:$E69, H67:H69)</f>
        <v>0.97051111972170567</v>
      </c>
      <c r="I71" s="96">
        <f>SUMPRODUCT($E67:$E69, I67:I69)</f>
        <v>0.97104399999999991</v>
      </c>
      <c r="J71" s="96">
        <f t="shared" ref="J71:K71" si="8">SUMPRODUCT($E67:$E69, J67:J69)</f>
        <v>1.002</v>
      </c>
      <c r="K71" s="96">
        <f t="shared" si="8"/>
        <v>0.88391399999999998</v>
      </c>
      <c r="L71" s="55"/>
    </row>
    <row r="72" spans="2:12" x14ac:dyDescent="0.2">
      <c r="B72" s="134"/>
      <c r="C72" s="137"/>
      <c r="D72" s="105"/>
      <c r="E72" s="94"/>
      <c r="G72" s="64"/>
      <c r="H72" s="64"/>
      <c r="I72" s="96"/>
      <c r="J72" s="64"/>
      <c r="K72" s="96"/>
      <c r="L72" s="93"/>
    </row>
    <row r="74" spans="2:12" s="120" customFormat="1" x14ac:dyDescent="0.2">
      <c r="B74" s="139"/>
      <c r="C74" s="138"/>
      <c r="D74" s="190" t="s">
        <v>245</v>
      </c>
      <c r="E74" s="130"/>
      <c r="F74" s="131"/>
      <c r="G74" s="127"/>
      <c r="H74" s="127"/>
      <c r="I74" s="126"/>
      <c r="J74" s="126"/>
      <c r="K74" s="126"/>
      <c r="L74" s="123"/>
    </row>
    <row r="75" spans="2:12" x14ac:dyDescent="0.2">
      <c r="B75" s="58"/>
      <c r="C75" s="133" t="s">
        <v>149</v>
      </c>
      <c r="D75" s="93" t="s">
        <v>246</v>
      </c>
      <c r="E75" s="99" t="s">
        <v>151</v>
      </c>
      <c r="F75" s="95" t="s">
        <v>152</v>
      </c>
      <c r="G75" s="64" t="s">
        <v>153</v>
      </c>
      <c r="H75" s="64" t="s">
        <v>154</v>
      </c>
      <c r="I75" s="64" t="s">
        <v>155</v>
      </c>
      <c r="J75" s="64" t="s">
        <v>40</v>
      </c>
      <c r="K75" s="64" t="s">
        <v>41</v>
      </c>
      <c r="L75" s="93" t="s">
        <v>246</v>
      </c>
    </row>
    <row r="76" spans="2:12" x14ac:dyDescent="0.2">
      <c r="B76" s="134" t="s">
        <v>247</v>
      </c>
      <c r="C76" s="133" t="s">
        <v>248</v>
      </c>
      <c r="D76" s="98"/>
      <c r="E76" s="100">
        <v>0.998</v>
      </c>
      <c r="F76" s="95">
        <v>5.0000000000000001E-3</v>
      </c>
      <c r="G76" s="64">
        <f>EXP(-F76/$M$9)</f>
        <v>0.99159668831508296</v>
      </c>
      <c r="H76" s="64">
        <f>G76/G$79</f>
        <v>0.99109488237560972</v>
      </c>
      <c r="I76" s="101">
        <v>0.99299999999999999</v>
      </c>
      <c r="J76" s="101">
        <v>0.95</v>
      </c>
      <c r="K76" s="101">
        <v>0.96199999999999997</v>
      </c>
      <c r="L76" s="93" t="s">
        <v>247</v>
      </c>
    </row>
    <row r="77" spans="2:12" x14ac:dyDescent="0.2">
      <c r="B77" s="134" t="s">
        <v>249</v>
      </c>
      <c r="C77" s="133" t="s">
        <v>250</v>
      </c>
      <c r="D77" s="98"/>
      <c r="E77" s="100">
        <v>3.0000000000000001E-3</v>
      </c>
      <c r="F77" s="95">
        <v>2.8610000000000002</v>
      </c>
      <c r="G77" s="64">
        <f>EXP(-F77/$M$9)</f>
        <v>7.9969746056469584E-3</v>
      </c>
      <c r="H77" s="64">
        <f t="shared" ref="H77:H78" si="9">G77/G$79</f>
        <v>7.9929276686188117E-3</v>
      </c>
      <c r="I77" s="101">
        <v>7.0000000000000001E-3</v>
      </c>
      <c r="J77" s="101">
        <v>0.05</v>
      </c>
      <c r="K77" s="101">
        <v>3.7999999999999999E-2</v>
      </c>
      <c r="L77" s="93" t="s">
        <v>251</v>
      </c>
    </row>
    <row r="78" spans="2:12" x14ac:dyDescent="0.2">
      <c r="B78" s="135" t="s">
        <v>252</v>
      </c>
      <c r="C78" s="136" t="s">
        <v>253</v>
      </c>
      <c r="D78" s="98"/>
      <c r="E78" s="100">
        <v>2.0019999999999998</v>
      </c>
      <c r="F78" s="95">
        <v>4.1470000000000002</v>
      </c>
      <c r="G78" s="103">
        <f>EXP(-F78/$M$9)</f>
        <v>9.1265181098416296E-4</v>
      </c>
      <c r="H78" s="64">
        <f t="shared" si="9"/>
        <v>9.1218995577143421E-4</v>
      </c>
      <c r="I78" s="104">
        <v>0</v>
      </c>
      <c r="J78" s="104">
        <v>0</v>
      </c>
      <c r="K78" s="104">
        <v>0</v>
      </c>
      <c r="L78" s="102" t="s">
        <v>254</v>
      </c>
    </row>
    <row r="79" spans="2:12" x14ac:dyDescent="0.2">
      <c r="B79" s="134"/>
      <c r="C79" s="133"/>
      <c r="D79" s="98" t="s">
        <v>172</v>
      </c>
      <c r="E79" s="100"/>
      <c r="F79" s="95"/>
      <c r="G79" s="64">
        <f>SUM(G76:G78)</f>
        <v>1.0005063147317141</v>
      </c>
      <c r="H79" s="64">
        <f>SUM(H76:H78)</f>
        <v>1</v>
      </c>
      <c r="I79" s="101">
        <f>SUM(I76:I78)</f>
        <v>1</v>
      </c>
      <c r="J79" s="101">
        <f>SUM(J76:J78)</f>
        <v>1</v>
      </c>
      <c r="K79" s="101">
        <f>SUM(K76:K78)</f>
        <v>1</v>
      </c>
      <c r="L79" s="93"/>
    </row>
    <row r="80" spans="2:12" x14ac:dyDescent="0.2">
      <c r="B80" s="58"/>
      <c r="D80" s="105" t="s">
        <v>173</v>
      </c>
      <c r="E80" s="106">
        <v>0.99099999999999999</v>
      </c>
      <c r="F80" s="107"/>
      <c r="G80" s="64"/>
      <c r="H80" s="64">
        <f>SUMPRODUCT($E76:$E78, H76:H78)</f>
        <v>0.99096287568531882</v>
      </c>
      <c r="I80" s="64">
        <f>SUMPRODUCT($E76:$E78, I76:I78)</f>
        <v>0.991035</v>
      </c>
      <c r="J80" s="64">
        <f>SUMPRODUCT($E76:$E78, J76:J78)</f>
        <v>0.94824999999999993</v>
      </c>
      <c r="K80" s="64">
        <f t="shared" ref="K80" si="10">SUMPRODUCT($E76:$E78, K76:K78)</f>
        <v>0.96018999999999988</v>
      </c>
      <c r="L80" s="55"/>
    </row>
    <row r="81" spans="2:13" x14ac:dyDescent="0.2">
      <c r="B81" s="58"/>
      <c r="D81" s="93"/>
      <c r="E81" s="94"/>
      <c r="F81" s="107"/>
      <c r="G81" s="64"/>
      <c r="H81" s="64"/>
      <c r="I81" s="96"/>
      <c r="J81" s="64"/>
      <c r="K81" s="64"/>
      <c r="L81" s="55"/>
    </row>
    <row r="82" spans="2:13" x14ac:dyDescent="0.2">
      <c r="B82" s="58"/>
      <c r="C82" s="133" t="s">
        <v>149</v>
      </c>
      <c r="D82" s="93" t="s">
        <v>255</v>
      </c>
      <c r="E82" s="99" t="s">
        <v>151</v>
      </c>
      <c r="F82" s="95" t="s">
        <v>152</v>
      </c>
      <c r="G82" s="64" t="s">
        <v>153</v>
      </c>
      <c r="H82" s="64" t="s">
        <v>154</v>
      </c>
      <c r="I82" s="96" t="s">
        <v>155</v>
      </c>
      <c r="J82" s="64" t="s">
        <v>42</v>
      </c>
      <c r="K82" s="96" t="s">
        <v>43</v>
      </c>
      <c r="L82" s="93" t="s">
        <v>255</v>
      </c>
    </row>
    <row r="83" spans="2:13" x14ac:dyDescent="0.2">
      <c r="B83" s="134" t="s">
        <v>256</v>
      </c>
      <c r="C83" s="133" t="s">
        <v>257</v>
      </c>
      <c r="D83" s="98"/>
      <c r="E83" s="100">
        <v>-4.0000000000000001E-3</v>
      </c>
      <c r="F83" s="95">
        <v>0.21199999999999999</v>
      </c>
      <c r="G83" s="64">
        <f>EXP(-F83/$M$9)</f>
        <v>0.69920877324453756</v>
      </c>
      <c r="H83" s="64">
        <f>G83/G$88</f>
        <v>0.69892679787111889</v>
      </c>
      <c r="I83" s="101">
        <v>0.7</v>
      </c>
      <c r="J83" s="101">
        <v>0.3</v>
      </c>
      <c r="K83" s="101">
        <v>0.63400000000000001</v>
      </c>
      <c r="L83" s="93" t="s">
        <v>258</v>
      </c>
    </row>
    <row r="84" spans="2:13" x14ac:dyDescent="0.2">
      <c r="B84" s="134" t="s">
        <v>259</v>
      </c>
      <c r="C84" s="133" t="s">
        <v>260</v>
      </c>
      <c r="D84" s="98"/>
      <c r="E84" s="100">
        <v>1.004</v>
      </c>
      <c r="F84" s="95">
        <v>0.71699999999999997</v>
      </c>
      <c r="G84" s="64">
        <f>EXP(-F84/$M$9)</f>
        <v>0.29815953532773798</v>
      </c>
      <c r="H84" s="64">
        <f t="shared" ref="H84:H87" si="11">G84/G$88</f>
        <v>0.29803929420730374</v>
      </c>
      <c r="I84" s="101">
        <v>0.29799999999999999</v>
      </c>
      <c r="J84" s="101">
        <v>0.7</v>
      </c>
      <c r="K84" s="101">
        <v>0.36599999999999999</v>
      </c>
      <c r="L84" s="93" t="s">
        <v>261</v>
      </c>
    </row>
    <row r="85" spans="2:13" x14ac:dyDescent="0.2">
      <c r="B85" s="134" t="s">
        <v>262</v>
      </c>
      <c r="C85" s="133" t="s">
        <v>263</v>
      </c>
      <c r="D85" s="98"/>
      <c r="E85" s="100">
        <v>0.995</v>
      </c>
      <c r="F85" s="145">
        <v>3.7280000000000002</v>
      </c>
      <c r="G85" s="141">
        <f>EXP(-F85/$M$9)</f>
        <v>1.8510853756935342E-3</v>
      </c>
      <c r="H85" s="64">
        <f t="shared" si="11"/>
        <v>1.8503388740619556E-3</v>
      </c>
      <c r="I85" s="143">
        <v>2E-3</v>
      </c>
      <c r="J85" s="141">
        <v>0</v>
      </c>
      <c r="K85" s="141">
        <v>0</v>
      </c>
      <c r="L85" s="146" t="s">
        <v>264</v>
      </c>
      <c r="M85" t="s">
        <v>265</v>
      </c>
    </row>
    <row r="86" spans="2:13" x14ac:dyDescent="0.2">
      <c r="B86" s="134" t="s">
        <v>266</v>
      </c>
      <c r="C86" s="133" t="s">
        <v>263</v>
      </c>
      <c r="D86" s="98"/>
      <c r="E86" s="100">
        <v>1</v>
      </c>
      <c r="F86" s="145">
        <v>4.3949999999999996</v>
      </c>
      <c r="G86" s="141">
        <f>EXP(-F86/$M$9)</f>
        <v>6.0051585188208943E-4</v>
      </c>
      <c r="H86" s="64">
        <f t="shared" si="11"/>
        <v>6.0027367717253508E-4</v>
      </c>
      <c r="I86" s="143">
        <v>0</v>
      </c>
      <c r="J86" s="141">
        <v>0</v>
      </c>
      <c r="K86" s="141">
        <v>0</v>
      </c>
      <c r="L86" s="146" t="s">
        <v>267</v>
      </c>
      <c r="M86" t="s">
        <v>268</v>
      </c>
    </row>
    <row r="87" spans="2:13" x14ac:dyDescent="0.2">
      <c r="B87" s="135" t="s">
        <v>264</v>
      </c>
      <c r="C87" s="136" t="s">
        <v>269</v>
      </c>
      <c r="D87" s="98"/>
      <c r="E87" s="100">
        <v>1.9950000000000001</v>
      </c>
      <c r="F87" s="95">
        <v>4.4119999999999999</v>
      </c>
      <c r="G87" s="103">
        <f>EXP(-F87/$M$9)</f>
        <v>5.8353069531600753E-4</v>
      </c>
      <c r="H87" s="64">
        <f t="shared" si="11"/>
        <v>5.8329537034296761E-4</v>
      </c>
      <c r="I87" s="113">
        <v>0</v>
      </c>
      <c r="J87" s="104">
        <v>0</v>
      </c>
      <c r="K87" s="113">
        <v>0</v>
      </c>
      <c r="L87" s="102" t="s">
        <v>270</v>
      </c>
    </row>
    <row r="88" spans="2:13" x14ac:dyDescent="0.2">
      <c r="B88" s="134"/>
      <c r="C88" s="133"/>
      <c r="D88" s="98" t="s">
        <v>172</v>
      </c>
      <c r="E88" s="100"/>
      <c r="F88" s="95"/>
      <c r="G88" s="64">
        <f>SUM(G83:G87)</f>
        <v>1.0004034404951672</v>
      </c>
      <c r="H88" s="64">
        <f>SUM(H83:H87)</f>
        <v>1.0000000000000002</v>
      </c>
      <c r="I88" s="112">
        <f>SUM(I83:I87)</f>
        <v>1</v>
      </c>
      <c r="J88" s="101">
        <f>SUM(J83:J87)</f>
        <v>1</v>
      </c>
      <c r="K88" s="112">
        <f>SUM(K83:K87)</f>
        <v>1</v>
      </c>
      <c r="L88" s="93"/>
    </row>
    <row r="89" spans="2:13" x14ac:dyDescent="0.2">
      <c r="B89" s="134"/>
      <c r="D89" s="105" t="s">
        <v>173</v>
      </c>
      <c r="E89" s="106">
        <v>0.29899999999999999</v>
      </c>
      <c r="F89" s="95"/>
      <c r="G89" s="96"/>
      <c r="H89" s="96">
        <f>SUMPRODUCT($E83:$E87, H83:H87)</f>
        <v>0.30004077931334688</v>
      </c>
      <c r="I89" s="96">
        <f>SUMPRODUCT($E83:$E87, I83:I87)</f>
        <v>0.29838199999999998</v>
      </c>
      <c r="J89" s="96">
        <f t="shared" ref="J89:K89" si="12">SUMPRODUCT($E83:$E87, J83:J87)</f>
        <v>0.7016</v>
      </c>
      <c r="K89" s="96">
        <f t="shared" si="12"/>
        <v>0.36492800000000003</v>
      </c>
      <c r="L89" s="93"/>
    </row>
    <row r="90" spans="2:13" x14ac:dyDescent="0.2">
      <c r="B90" s="58"/>
      <c r="D90" s="93"/>
      <c r="E90" s="94"/>
      <c r="F90" s="107"/>
      <c r="G90" s="64"/>
      <c r="H90" s="64"/>
      <c r="I90" s="96"/>
      <c r="J90" s="64"/>
      <c r="L90" s="55"/>
    </row>
    <row r="91" spans="2:13" x14ac:dyDescent="0.2">
      <c r="B91" s="58"/>
      <c r="C91" s="133" t="s">
        <v>149</v>
      </c>
      <c r="D91" s="93" t="s">
        <v>271</v>
      </c>
      <c r="E91" s="99" t="s">
        <v>151</v>
      </c>
      <c r="F91" s="95" t="s">
        <v>152</v>
      </c>
      <c r="G91" s="64" t="s">
        <v>153</v>
      </c>
      <c r="H91" s="64" t="s">
        <v>154</v>
      </c>
      <c r="I91" s="96" t="s">
        <v>155</v>
      </c>
      <c r="J91" s="64" t="s">
        <v>44</v>
      </c>
      <c r="L91" s="93" t="s">
        <v>271</v>
      </c>
    </row>
    <row r="92" spans="2:13" x14ac:dyDescent="0.2">
      <c r="B92" s="134" t="s">
        <v>272</v>
      </c>
      <c r="C92" s="133" t="s">
        <v>273</v>
      </c>
      <c r="D92" s="98"/>
      <c r="E92" s="100">
        <v>1.0029999999999999</v>
      </c>
      <c r="F92" s="117">
        <v>3.1E-2</v>
      </c>
      <c r="G92" s="64">
        <f>EXP(-F92/$M$9)</f>
        <v>0.9490244895140989</v>
      </c>
      <c r="H92" s="64">
        <f>G92/G$95</f>
        <v>0.94904847619944588</v>
      </c>
      <c r="I92" s="101">
        <v>0.94899999999999995</v>
      </c>
      <c r="J92" s="101">
        <v>0.44700000000000001</v>
      </c>
      <c r="L92" s="93" t="s">
        <v>272</v>
      </c>
    </row>
    <row r="93" spans="2:13" x14ac:dyDescent="0.2">
      <c r="B93" s="134" t="s">
        <v>274</v>
      </c>
      <c r="C93" s="133" t="s">
        <v>275</v>
      </c>
      <c r="D93" s="98"/>
      <c r="E93" s="100">
        <v>-1E-3</v>
      </c>
      <c r="F93" s="95">
        <v>1.766</v>
      </c>
      <c r="G93" s="64">
        <f>EXP(-F93/$M$9)</f>
        <v>5.0762838519496874E-2</v>
      </c>
      <c r="H93" s="64">
        <f t="shared" ref="H93:H94" si="13">G93/G$95</f>
        <v>5.0764121555128029E-2</v>
      </c>
      <c r="I93" s="101">
        <v>5.0999999999999997E-2</v>
      </c>
      <c r="J93" s="101">
        <v>0.55300000000000005</v>
      </c>
      <c r="L93" s="93" t="s">
        <v>276</v>
      </c>
    </row>
    <row r="94" spans="2:13" x14ac:dyDescent="0.2">
      <c r="B94" s="135" t="s">
        <v>277</v>
      </c>
      <c r="C94" s="136" t="s">
        <v>278</v>
      </c>
      <c r="D94" s="98"/>
      <c r="E94" s="100">
        <v>2.0030000000000001</v>
      </c>
      <c r="F94" s="95">
        <v>5.085</v>
      </c>
      <c r="G94" s="103">
        <f>EXP(-F94/$M$9)</f>
        <v>1.8739750893595971E-4</v>
      </c>
      <c r="H94" s="64">
        <f t="shared" si="13"/>
        <v>1.8740224542604118E-4</v>
      </c>
      <c r="I94" s="113">
        <v>0</v>
      </c>
      <c r="J94" s="104">
        <v>0</v>
      </c>
      <c r="L94" s="102" t="s">
        <v>279</v>
      </c>
    </row>
    <row r="95" spans="2:13" x14ac:dyDescent="0.2">
      <c r="B95" s="134"/>
      <c r="C95" s="133"/>
      <c r="D95" s="98" t="s">
        <v>172</v>
      </c>
      <c r="E95" s="100"/>
      <c r="F95" s="95"/>
      <c r="G95" s="64">
        <f>SUM(G92:G94)</f>
        <v>0.99997472554253175</v>
      </c>
      <c r="H95" s="64">
        <f>SUM(H92:H94)</f>
        <v>0.99999999999999989</v>
      </c>
      <c r="I95" s="112">
        <f>SUM(I92:I94)</f>
        <v>1</v>
      </c>
      <c r="J95" s="101">
        <f>SUM(J92:J94)</f>
        <v>1</v>
      </c>
      <c r="L95" s="93"/>
    </row>
    <row r="96" spans="2:13" x14ac:dyDescent="0.2">
      <c r="B96" s="58"/>
      <c r="D96" s="105" t="s">
        <v>173</v>
      </c>
      <c r="E96" s="106">
        <v>0.95299999999999996</v>
      </c>
      <c r="F96" s="95"/>
      <c r="G96" s="96"/>
      <c r="H96" s="96">
        <f>SUMPRODUCT($E92:$E94, H92:H94)</f>
        <v>0.95222022420407726</v>
      </c>
      <c r="I96" s="96">
        <f>SUMPRODUCT($E92:$E94, I92:I94)</f>
        <v>0.95179599999999986</v>
      </c>
      <c r="J96" s="96">
        <f>SUMPRODUCT($E92:$E94, J92:J94)</f>
        <v>0.44778799999999991</v>
      </c>
      <c r="L96" s="55"/>
    </row>
    <row r="97" spans="2:12" x14ac:dyDescent="0.2">
      <c r="B97" s="58"/>
      <c r="C97" s="137"/>
      <c r="D97" s="105"/>
      <c r="E97" s="94"/>
      <c r="F97" s="107"/>
      <c r="G97" s="64"/>
      <c r="H97" s="64"/>
      <c r="I97" s="96"/>
      <c r="J97" s="118"/>
      <c r="L97" s="55"/>
    </row>
    <row r="98" spans="2:12" x14ac:dyDescent="0.2">
      <c r="B98" s="58"/>
      <c r="C98" s="133" t="s">
        <v>149</v>
      </c>
      <c r="D98" s="93" t="s">
        <v>280</v>
      </c>
      <c r="E98" s="99" t="s">
        <v>151</v>
      </c>
      <c r="F98" s="95" t="s">
        <v>152</v>
      </c>
      <c r="G98" s="64" t="s">
        <v>153</v>
      </c>
      <c r="H98" s="64" t="s">
        <v>154</v>
      </c>
      <c r="I98" s="96" t="s">
        <v>155</v>
      </c>
      <c r="J98" s="64" t="s">
        <v>45</v>
      </c>
      <c r="L98" s="93" t="s">
        <v>280</v>
      </c>
    </row>
    <row r="99" spans="2:12" x14ac:dyDescent="0.2">
      <c r="B99" s="134" t="s">
        <v>281</v>
      </c>
      <c r="C99" s="133" t="s">
        <v>282</v>
      </c>
      <c r="D99" s="98"/>
      <c r="E99" s="100">
        <v>1.0009999999999999</v>
      </c>
      <c r="F99" s="95">
        <v>1.6E-2</v>
      </c>
      <c r="G99" s="64">
        <f t="shared" ref="G99:G105" si="14">EXP(-F99/$M$9)</f>
        <v>0.97335713452354344</v>
      </c>
      <c r="H99" s="64">
        <f>G99/G$106</f>
        <v>0.97331136746133029</v>
      </c>
      <c r="I99" s="101">
        <v>0.97399999999999998</v>
      </c>
      <c r="J99" s="101">
        <v>0.98499999999999999</v>
      </c>
      <c r="L99" s="93" t="s">
        <v>283</v>
      </c>
    </row>
    <row r="100" spans="2:12" x14ac:dyDescent="0.2">
      <c r="B100" s="134" t="s">
        <v>284</v>
      </c>
      <c r="C100" s="133" t="s">
        <v>285</v>
      </c>
      <c r="D100" s="98"/>
      <c r="E100" s="100">
        <v>-1E-3</v>
      </c>
      <c r="F100" s="95">
        <v>2.2989999999999999</v>
      </c>
      <c r="G100" s="64">
        <f t="shared" si="14"/>
        <v>2.0647340104481503E-2</v>
      </c>
      <c r="H100" s="64">
        <f t="shared" ref="H100:H105" si="15">G100/G$106</f>
        <v>2.0646369270585514E-2</v>
      </c>
      <c r="I100" s="101">
        <v>2.1000000000000001E-2</v>
      </c>
      <c r="J100" s="101">
        <v>8.0000000000000002E-3</v>
      </c>
      <c r="L100" s="93" t="s">
        <v>286</v>
      </c>
    </row>
    <row r="101" spans="2:12" x14ac:dyDescent="0.2">
      <c r="B101" s="134" t="s">
        <v>287</v>
      </c>
      <c r="C101" s="133" t="s">
        <v>288</v>
      </c>
      <c r="D101" s="98"/>
      <c r="E101" s="100">
        <v>1.006</v>
      </c>
      <c r="F101" s="95">
        <v>3.31</v>
      </c>
      <c r="G101" s="64">
        <f t="shared" si="14"/>
        <v>3.7481312734150051E-3</v>
      </c>
      <c r="H101" s="64">
        <f t="shared" si="15"/>
        <v>3.7479550370151378E-3</v>
      </c>
      <c r="I101" s="101">
        <v>4.0000000000000001E-3</v>
      </c>
      <c r="J101" s="101">
        <v>3.0000000000000001E-3</v>
      </c>
      <c r="L101" s="93" t="s">
        <v>289</v>
      </c>
    </row>
    <row r="102" spans="2:12" x14ac:dyDescent="0.2">
      <c r="B102" s="134" t="s">
        <v>290</v>
      </c>
      <c r="C102" s="133" t="s">
        <v>291</v>
      </c>
      <c r="D102" s="98"/>
      <c r="E102" s="100">
        <v>0.999</v>
      </c>
      <c r="F102" s="95">
        <v>3.8929999999999998</v>
      </c>
      <c r="G102" s="64">
        <f t="shared" si="14"/>
        <v>1.4011469398303852E-3</v>
      </c>
      <c r="H102" s="64">
        <f t="shared" si="15"/>
        <v>1.4010810581751422E-3</v>
      </c>
      <c r="I102" s="112">
        <v>1E-3</v>
      </c>
      <c r="J102" s="101">
        <v>0</v>
      </c>
      <c r="L102" s="93" t="s">
        <v>292</v>
      </c>
    </row>
    <row r="103" spans="2:12" x14ac:dyDescent="0.2">
      <c r="B103" s="134" t="s">
        <v>293</v>
      </c>
      <c r="C103" s="133" t="s">
        <v>294</v>
      </c>
      <c r="D103" s="98"/>
      <c r="E103" s="100">
        <v>0.996</v>
      </c>
      <c r="F103" s="95">
        <v>4.431</v>
      </c>
      <c r="G103" s="64">
        <f t="shared" si="14"/>
        <v>5.6511516673608418E-4</v>
      </c>
      <c r="H103" s="64">
        <f t="shared" si="15"/>
        <v>5.6508859513140156E-4</v>
      </c>
      <c r="I103" s="112">
        <v>0</v>
      </c>
      <c r="J103" s="101">
        <v>4.0000000000000001E-3</v>
      </c>
      <c r="L103" s="93" t="s">
        <v>295</v>
      </c>
    </row>
    <row r="104" spans="2:12" x14ac:dyDescent="0.2">
      <c r="B104" s="134" t="s">
        <v>296</v>
      </c>
      <c r="C104" s="133" t="s">
        <v>297</v>
      </c>
      <c r="D104" s="98"/>
      <c r="E104" s="100">
        <v>2.0030000000000001</v>
      </c>
      <c r="F104" s="95">
        <v>4.9720000000000004</v>
      </c>
      <c r="G104" s="64">
        <f t="shared" si="14"/>
        <v>2.2677296811160364E-4</v>
      </c>
      <c r="H104" s="64">
        <f t="shared" si="15"/>
        <v>2.2676230529096802E-4</v>
      </c>
      <c r="I104" s="112">
        <v>0</v>
      </c>
      <c r="J104" s="101">
        <f>0*3</f>
        <v>0</v>
      </c>
      <c r="L104" s="93" t="s">
        <v>298</v>
      </c>
    </row>
    <row r="105" spans="2:12" x14ac:dyDescent="0.2">
      <c r="B105" s="135" t="s">
        <v>299</v>
      </c>
      <c r="C105" s="136" t="s">
        <v>300</v>
      </c>
      <c r="D105" s="98"/>
      <c r="E105" s="100">
        <v>2.0009999999999999</v>
      </c>
      <c r="F105" s="95">
        <v>5.4489999999999998</v>
      </c>
      <c r="G105" s="103">
        <f t="shared" si="14"/>
        <v>1.01381039388189E-4</v>
      </c>
      <c r="H105" s="64">
        <f t="shared" si="15"/>
        <v>1.0137627247153287E-4</v>
      </c>
      <c r="I105" s="113">
        <v>0</v>
      </c>
      <c r="J105" s="104">
        <v>0</v>
      </c>
      <c r="L105" s="102" t="s">
        <v>301</v>
      </c>
    </row>
    <row r="106" spans="2:12" x14ac:dyDescent="0.2">
      <c r="B106" s="134"/>
      <c r="C106" s="133"/>
      <c r="D106" s="98" t="s">
        <v>172</v>
      </c>
      <c r="E106" s="100"/>
      <c r="F106" s="95"/>
      <c r="G106" s="64">
        <f>SUM(G99:G105)</f>
        <v>1.0000470220155062</v>
      </c>
      <c r="H106" s="64">
        <f>SUM(H99:H105)</f>
        <v>0.99999999999999989</v>
      </c>
      <c r="I106" s="112">
        <f>SUM(I99:I105)</f>
        <v>1</v>
      </c>
      <c r="J106" s="101">
        <f>SUM(J99:J105)</f>
        <v>1</v>
      </c>
      <c r="L106" s="93"/>
    </row>
    <row r="107" spans="2:12" x14ac:dyDescent="0.2">
      <c r="B107" s="58"/>
      <c r="D107" s="105" t="s">
        <v>173</v>
      </c>
      <c r="E107" s="106">
        <v>0.98099999999999998</v>
      </c>
      <c r="F107" s="95"/>
      <c r="G107" s="96"/>
      <c r="H107" s="96">
        <f>SUMPRODUCT($E99:$E105, H99:H105)</f>
        <v>0.98065404226333941</v>
      </c>
      <c r="I107" s="96">
        <f>SUMPRODUCT($E99:$E105, I99:I105)</f>
        <v>0.97997599999999985</v>
      </c>
      <c r="J107" s="96">
        <f>SUMPRODUCT($E99:$E105, J99:J105)</f>
        <v>0.99297899999999983</v>
      </c>
      <c r="L107" s="55"/>
    </row>
    <row r="108" spans="2:12" x14ac:dyDescent="0.2">
      <c r="B108" s="58"/>
      <c r="C108" s="137"/>
      <c r="D108" s="105"/>
      <c r="E108" s="94"/>
      <c r="F108" s="107"/>
      <c r="G108" s="64"/>
      <c r="H108" s="64"/>
      <c r="I108" s="96"/>
      <c r="J108" s="64"/>
      <c r="L108" s="55"/>
    </row>
    <row r="110" spans="2:12" x14ac:dyDescent="0.2">
      <c r="B110" s="139"/>
      <c r="C110" s="138"/>
      <c r="D110" s="192" t="s">
        <v>384</v>
      </c>
      <c r="E110" s="124"/>
      <c r="F110" s="125"/>
      <c r="G110" s="126"/>
      <c r="H110" s="126"/>
      <c r="I110" s="127"/>
      <c r="J110" s="126"/>
      <c r="K110" s="120"/>
      <c r="L110" s="122"/>
    </row>
    <row r="111" spans="2:12" x14ac:dyDescent="0.2">
      <c r="B111" s="58"/>
      <c r="C111" s="133" t="s">
        <v>149</v>
      </c>
      <c r="D111" s="93" t="s">
        <v>303</v>
      </c>
      <c r="E111" s="99" t="s">
        <v>151</v>
      </c>
      <c r="F111" s="95" t="s">
        <v>152</v>
      </c>
      <c r="G111" s="64" t="s">
        <v>153</v>
      </c>
      <c r="H111" s="64" t="s">
        <v>154</v>
      </c>
      <c r="I111" s="96" t="s">
        <v>155</v>
      </c>
      <c r="J111" s="64" t="s">
        <v>47</v>
      </c>
      <c r="L111" s="93" t="s">
        <v>303</v>
      </c>
    </row>
    <row r="112" spans="2:12" x14ac:dyDescent="0.2">
      <c r="B112" s="134" t="s">
        <v>304</v>
      </c>
      <c r="C112" s="133" t="s">
        <v>305</v>
      </c>
      <c r="D112" s="98"/>
      <c r="E112" s="100">
        <v>2E-3</v>
      </c>
      <c r="F112" s="95">
        <v>1.7999999999999999E-2</v>
      </c>
      <c r="G112" s="64">
        <f>EXP(-F112/$M$9)</f>
        <v>0.97007707989215608</v>
      </c>
      <c r="H112" s="64">
        <f>G112/G$114</f>
        <v>0.97089117504966183</v>
      </c>
      <c r="I112" s="101">
        <v>0.97099999999999997</v>
      </c>
      <c r="J112" s="101">
        <v>0.96599999999999997</v>
      </c>
      <c r="L112" s="93" t="s">
        <v>306</v>
      </c>
    </row>
    <row r="113" spans="1:13" x14ac:dyDescent="0.2">
      <c r="B113" s="135" t="s">
        <v>307</v>
      </c>
      <c r="C113" s="136" t="s">
        <v>308</v>
      </c>
      <c r="D113" s="98"/>
      <c r="E113" s="100">
        <v>1</v>
      </c>
      <c r="F113" s="95">
        <v>2.0960000000000001</v>
      </c>
      <c r="G113" s="103">
        <f>EXP(-F113/$M$9)</f>
        <v>2.9084417113454095E-2</v>
      </c>
      <c r="H113" s="64">
        <f>G113/G$114</f>
        <v>2.9108824950338123E-2</v>
      </c>
      <c r="I113" s="104">
        <v>2.9000000000000001E-2</v>
      </c>
      <c r="J113" s="104">
        <v>3.4000000000000002E-2</v>
      </c>
      <c r="L113" s="102" t="s">
        <v>307</v>
      </c>
    </row>
    <row r="114" spans="1:13" x14ac:dyDescent="0.2">
      <c r="B114" s="134"/>
      <c r="C114" s="133"/>
      <c r="D114" s="98" t="s">
        <v>172</v>
      </c>
      <c r="E114" s="100"/>
      <c r="F114" s="95"/>
      <c r="G114" s="64">
        <f>SUM(G112:G113)</f>
        <v>0.99916149700561019</v>
      </c>
      <c r="H114" s="64">
        <f>SUM(H112:H113)</f>
        <v>1</v>
      </c>
      <c r="I114" s="101">
        <f>SUM(I112:I113)</f>
        <v>1</v>
      </c>
      <c r="J114" s="101">
        <f>SUM(J112:J113)</f>
        <v>1</v>
      </c>
      <c r="L114" s="93"/>
    </row>
    <row r="115" spans="1:13" x14ac:dyDescent="0.2">
      <c r="B115" s="134"/>
      <c r="D115" s="105" t="s">
        <v>173</v>
      </c>
      <c r="E115" s="106">
        <v>3.1E-2</v>
      </c>
      <c r="F115" s="95"/>
      <c r="G115" s="96"/>
      <c r="H115" s="96">
        <f>SUMPRODUCT($E112:$E113, H112:H113)</f>
        <v>3.1050607300437447E-2</v>
      </c>
      <c r="I115" s="96">
        <f>SUMPRODUCT($E112:$E113, I112:I113)</f>
        <v>3.0942000000000001E-2</v>
      </c>
      <c r="J115" s="96">
        <f>SUMPRODUCT($E112:$E113, J112:J113)</f>
        <v>3.5932000000000006E-2</v>
      </c>
      <c r="L115" s="93"/>
    </row>
    <row r="116" spans="1:13" x14ac:dyDescent="0.2">
      <c r="B116" s="134"/>
      <c r="C116" s="137"/>
      <c r="D116" s="105"/>
      <c r="E116" s="94"/>
      <c r="F116" s="107"/>
      <c r="G116" s="96"/>
      <c r="H116" s="96"/>
      <c r="I116" s="96"/>
      <c r="J116" s="96"/>
      <c r="L116" s="93"/>
    </row>
    <row r="118" spans="1:13" x14ac:dyDescent="0.2">
      <c r="A118" s="120"/>
      <c r="B118" s="139"/>
      <c r="C118" s="138"/>
      <c r="D118" s="121" t="s">
        <v>309</v>
      </c>
      <c r="E118" s="124"/>
      <c r="F118" s="131"/>
      <c r="G118" s="126"/>
      <c r="H118" s="126"/>
      <c r="I118" s="127"/>
      <c r="J118" s="126"/>
      <c r="K118" s="127"/>
      <c r="L118" s="122"/>
      <c r="M118" s="120"/>
    </row>
    <row r="119" spans="1:13" x14ac:dyDescent="0.2">
      <c r="B119" s="58"/>
      <c r="C119" s="133" t="s">
        <v>149</v>
      </c>
      <c r="D119" s="93" t="s">
        <v>310</v>
      </c>
      <c r="E119" s="99" t="s">
        <v>151</v>
      </c>
      <c r="F119" s="95" t="s">
        <v>152</v>
      </c>
      <c r="G119" s="64" t="s">
        <v>153</v>
      </c>
      <c r="H119" s="64" t="s">
        <v>154</v>
      </c>
      <c r="I119" s="96" t="s">
        <v>155</v>
      </c>
      <c r="J119" s="64" t="s">
        <v>49</v>
      </c>
      <c r="K119" s="96" t="s">
        <v>50</v>
      </c>
      <c r="L119" s="93" t="s">
        <v>310</v>
      </c>
    </row>
    <row r="120" spans="1:13" x14ac:dyDescent="0.2">
      <c r="B120" s="134" t="s">
        <v>311</v>
      </c>
      <c r="C120" s="133" t="s">
        <v>312</v>
      </c>
      <c r="D120" s="98"/>
      <c r="E120" s="100">
        <v>1</v>
      </c>
      <c r="F120" s="95">
        <v>8.0000000000000002E-3</v>
      </c>
      <c r="G120" s="64">
        <f>EXP(-F120/$M$9)</f>
        <v>0.98658863490491489</v>
      </c>
      <c r="H120" s="64">
        <f>G120/G$123</f>
        <v>0.98609284942387321</v>
      </c>
      <c r="I120" s="101">
        <v>0.98599999999999999</v>
      </c>
      <c r="J120" s="101">
        <v>0.15</v>
      </c>
      <c r="K120" s="101">
        <v>0.50800000000000001</v>
      </c>
      <c r="L120" s="93" t="s">
        <v>311</v>
      </c>
    </row>
    <row r="121" spans="1:13" x14ac:dyDescent="0.2">
      <c r="B121" s="134" t="s">
        <v>313</v>
      </c>
      <c r="C121" s="133" t="s">
        <v>314</v>
      </c>
      <c r="D121" s="98"/>
      <c r="E121" s="100">
        <v>-1E-3</v>
      </c>
      <c r="F121" s="95">
        <v>2.536</v>
      </c>
      <c r="G121" s="64">
        <f>EXP(-F121/$M$9)</f>
        <v>1.3840325969349546E-2</v>
      </c>
      <c r="H121" s="64">
        <f t="shared" ref="H121:H122" si="16">G121/G$123</f>
        <v>1.3833370859159016E-2</v>
      </c>
      <c r="I121" s="101">
        <v>1.4E-2</v>
      </c>
      <c r="J121" s="101">
        <v>0.85</v>
      </c>
      <c r="K121" s="101">
        <v>0.49199999999999999</v>
      </c>
      <c r="L121" s="93" t="s">
        <v>315</v>
      </c>
    </row>
    <row r="122" spans="1:13" x14ac:dyDescent="0.2">
      <c r="B122" s="135" t="s">
        <v>316</v>
      </c>
      <c r="C122" s="136" t="s">
        <v>317</v>
      </c>
      <c r="D122" s="98"/>
      <c r="E122" s="100">
        <v>-4.0000000000000001E-3</v>
      </c>
      <c r="F122" s="95">
        <v>5.6369999999999996</v>
      </c>
      <c r="G122" s="103">
        <f>EXP(-F122/$M$9)</f>
        <v>7.3816811763083401E-5</v>
      </c>
      <c r="H122" s="64">
        <f t="shared" si="16"/>
        <v>7.377971696771061E-5</v>
      </c>
      <c r="I122" s="104">
        <v>0</v>
      </c>
      <c r="J122" s="104">
        <v>0</v>
      </c>
      <c r="K122" s="113">
        <v>0</v>
      </c>
      <c r="L122" s="102" t="s">
        <v>318</v>
      </c>
    </row>
    <row r="123" spans="1:13" x14ac:dyDescent="0.2">
      <c r="B123" s="134"/>
      <c r="C123" s="133"/>
      <c r="D123" s="98" t="s">
        <v>172</v>
      </c>
      <c r="E123" s="100"/>
      <c r="F123" s="95"/>
      <c r="G123" s="64">
        <f>SUM(G120:G122)</f>
        <v>1.0005027776860276</v>
      </c>
      <c r="H123" s="64">
        <f>SUM(H120:H122)</f>
        <v>1</v>
      </c>
      <c r="I123" s="101">
        <f>SUM(I120:I122)</f>
        <v>1</v>
      </c>
      <c r="J123" s="101">
        <f>SUM(J120:J122)</f>
        <v>1</v>
      </c>
      <c r="K123" s="112">
        <f>SUM(K120:K122)</f>
        <v>1</v>
      </c>
      <c r="L123" s="93"/>
    </row>
    <row r="124" spans="1:13" x14ac:dyDescent="0.2">
      <c r="B124" s="58"/>
      <c r="D124" s="105" t="s">
        <v>173</v>
      </c>
      <c r="E124" s="106">
        <v>0.98599999999999999</v>
      </c>
      <c r="F124" s="107"/>
      <c r="G124" s="96"/>
      <c r="H124" s="96">
        <f>SUMPRODUCT($E120:$E122, H120:H122)</f>
        <v>0.98607872093414617</v>
      </c>
      <c r="I124" s="96">
        <f>SUMPRODUCT($E120:$E122, I120:I122)</f>
        <v>0.98598600000000003</v>
      </c>
      <c r="J124" s="96">
        <f t="shared" ref="J124:K124" si="17">SUMPRODUCT($E120:$E122, J120:J122)</f>
        <v>0.14915</v>
      </c>
      <c r="K124" s="96">
        <f t="shared" si="17"/>
        <v>0.50750799999999996</v>
      </c>
      <c r="L124" s="55"/>
    </row>
    <row r="125" spans="1:13" x14ac:dyDescent="0.2">
      <c r="B125" s="58"/>
      <c r="C125" s="137"/>
      <c r="D125" s="105"/>
      <c r="E125" s="108"/>
      <c r="F125" s="95"/>
      <c r="G125" s="64"/>
      <c r="H125" s="64"/>
      <c r="I125" s="96"/>
      <c r="J125" s="64"/>
      <c r="K125" s="96"/>
      <c r="L125" s="55"/>
    </row>
    <row r="127" spans="1:13" x14ac:dyDescent="0.2">
      <c r="A127" s="120"/>
      <c r="B127" s="139"/>
      <c r="C127" s="138"/>
      <c r="D127" s="190" t="s">
        <v>138</v>
      </c>
      <c r="E127" s="124"/>
      <c r="F127" s="131"/>
      <c r="G127" s="126"/>
      <c r="H127" s="126"/>
      <c r="I127" s="127"/>
      <c r="J127" s="126"/>
      <c r="K127" s="120"/>
      <c r="L127" s="120"/>
      <c r="M127" s="120"/>
    </row>
    <row r="128" spans="1:13" x14ac:dyDescent="0.2">
      <c r="B128" s="58"/>
      <c r="C128" s="133" t="s">
        <v>149</v>
      </c>
      <c r="D128" s="93" t="s">
        <v>216</v>
      </c>
      <c r="E128" s="99" t="s">
        <v>151</v>
      </c>
      <c r="F128" s="95" t="s">
        <v>152</v>
      </c>
      <c r="G128" s="64" t="s">
        <v>153</v>
      </c>
      <c r="H128" s="64" t="s">
        <v>154</v>
      </c>
      <c r="I128" s="96" t="s">
        <v>155</v>
      </c>
      <c r="J128" s="64" t="s">
        <v>52</v>
      </c>
      <c r="L128" s="93" t="s">
        <v>216</v>
      </c>
    </row>
    <row r="129" spans="1:12" x14ac:dyDescent="0.2">
      <c r="B129" s="134" t="s">
        <v>217</v>
      </c>
      <c r="C129" s="133" t="s">
        <v>218</v>
      </c>
      <c r="D129" s="98"/>
      <c r="E129" s="100">
        <v>1.998</v>
      </c>
      <c r="F129" s="95">
        <v>0.28299999999999997</v>
      </c>
      <c r="G129" s="64">
        <f>EXP(-F129/$M$9)</f>
        <v>0.62024722476490501</v>
      </c>
      <c r="H129" s="64">
        <f>G129/G$133</f>
        <v>0.62041131668252469</v>
      </c>
      <c r="I129" s="101">
        <v>0.62</v>
      </c>
      <c r="J129" s="101">
        <f>0+0</f>
        <v>0</v>
      </c>
      <c r="L129" s="93" t="s">
        <v>219</v>
      </c>
    </row>
    <row r="130" spans="1:12" x14ac:dyDescent="0.2">
      <c r="B130" s="134" t="s">
        <v>220</v>
      </c>
      <c r="C130" s="133" t="s">
        <v>221</v>
      </c>
      <c r="D130" s="98"/>
      <c r="E130" s="100">
        <v>0.995</v>
      </c>
      <c r="F130" s="95">
        <v>0.58499999999999996</v>
      </c>
      <c r="G130" s="64">
        <f>EXP(-F130/$M$9)</f>
        <v>0.37256574050686803</v>
      </c>
      <c r="H130" s="64">
        <f t="shared" ref="H130:H132" si="18">G130/G$133</f>
        <v>0.37266430608581491</v>
      </c>
      <c r="I130" s="101">
        <v>0.373</v>
      </c>
      <c r="J130" s="101">
        <v>0.84699999999999998</v>
      </c>
      <c r="L130" s="93" t="s">
        <v>222</v>
      </c>
    </row>
    <row r="131" spans="1:12" x14ac:dyDescent="0.2">
      <c r="B131" s="134" t="s">
        <v>223</v>
      </c>
      <c r="C131" s="133" t="s">
        <v>224</v>
      </c>
      <c r="D131" s="98"/>
      <c r="E131" s="100">
        <v>3.0000000000000001E-3</v>
      </c>
      <c r="F131" s="95">
        <v>3.1920000000000002</v>
      </c>
      <c r="G131" s="64">
        <f>EXP(-F131/$M$9)</f>
        <v>4.5741162324412108E-3</v>
      </c>
      <c r="H131" s="64">
        <f t="shared" si="18"/>
        <v>4.575326355556685E-3</v>
      </c>
      <c r="I131" s="101">
        <v>5.0000000000000001E-3</v>
      </c>
      <c r="J131" s="101">
        <v>0.153</v>
      </c>
      <c r="L131" s="93" t="s">
        <v>225</v>
      </c>
    </row>
    <row r="132" spans="1:12" x14ac:dyDescent="0.2">
      <c r="B132" s="135" t="s">
        <v>226</v>
      </c>
      <c r="C132" s="136" t="s">
        <v>227</v>
      </c>
      <c r="D132" s="98"/>
      <c r="E132" s="100">
        <v>1.002</v>
      </c>
      <c r="F132" s="95">
        <v>3.5870000000000002</v>
      </c>
      <c r="G132" s="103">
        <f>EXP(-F132/$M$9)</f>
        <v>2.3484295781801821E-3</v>
      </c>
      <c r="H132" s="64">
        <f t="shared" si="18"/>
        <v>2.3490508761038033E-3</v>
      </c>
      <c r="I132" s="104">
        <v>2E-3</v>
      </c>
      <c r="J132" s="104">
        <v>0</v>
      </c>
      <c r="L132" s="102" t="s">
        <v>217</v>
      </c>
    </row>
    <row r="133" spans="1:12" x14ac:dyDescent="0.2">
      <c r="B133" s="134"/>
      <c r="C133" s="133"/>
      <c r="D133" s="98" t="s">
        <v>172</v>
      </c>
      <c r="E133" s="100"/>
      <c r="F133" s="95"/>
      <c r="G133" s="64">
        <f>SUM(G129:G132)</f>
        <v>0.99973551108239433</v>
      </c>
      <c r="H133" s="64">
        <f>SUM(H129:H132)</f>
        <v>1</v>
      </c>
      <c r="I133" s="101">
        <f>SUM(I129:I132)</f>
        <v>1</v>
      </c>
      <c r="J133" s="101">
        <f>SUM(J129:J132)</f>
        <v>1</v>
      </c>
      <c r="L133" s="93"/>
    </row>
    <row r="134" spans="1:12" x14ac:dyDescent="0.2">
      <c r="B134" s="134"/>
      <c r="D134" s="105" t="s">
        <v>173</v>
      </c>
      <c r="E134" s="106">
        <v>1.613</v>
      </c>
      <c r="F134" s="107"/>
      <c r="G134" s="96"/>
      <c r="H134" s="96">
        <f>SUMPRODUCT($E129:$E132, H129:H132)</f>
        <v>1.6127502702439929</v>
      </c>
      <c r="I134" s="96">
        <f>SUMPRODUCT($E129:$E132, I129:I132)</f>
        <v>1.6119140000000001</v>
      </c>
      <c r="J134" s="96">
        <f>SUMPRODUCT($E129:$E132, J129:J132)</f>
        <v>0.84322399999999997</v>
      </c>
    </row>
    <row r="135" spans="1:12" x14ac:dyDescent="0.2">
      <c r="B135" s="58"/>
      <c r="C135" s="137"/>
      <c r="D135" s="105"/>
      <c r="E135" s="108"/>
      <c r="F135" s="95"/>
      <c r="G135" s="64"/>
      <c r="H135" s="64"/>
      <c r="I135" s="96"/>
      <c r="J135" s="64"/>
    </row>
    <row r="137" spans="1:12" x14ac:dyDescent="0.2">
      <c r="A137" s="120"/>
      <c r="B137" s="139"/>
      <c r="C137" s="138"/>
      <c r="D137" s="192" t="s">
        <v>385</v>
      </c>
      <c r="E137" s="124"/>
      <c r="F137" s="131"/>
      <c r="G137" s="126"/>
      <c r="H137" s="126"/>
      <c r="I137" s="127"/>
      <c r="J137" s="126"/>
      <c r="K137" s="127"/>
      <c r="L137" s="122"/>
    </row>
    <row r="138" spans="1:12" x14ac:dyDescent="0.2">
      <c r="B138" s="58"/>
      <c r="C138" s="133" t="s">
        <v>149</v>
      </c>
      <c r="D138" s="93" t="s">
        <v>320</v>
      </c>
      <c r="E138" s="99" t="s">
        <v>151</v>
      </c>
      <c r="F138" s="95" t="s">
        <v>152</v>
      </c>
      <c r="G138" s="64" t="s">
        <v>153</v>
      </c>
      <c r="H138" s="64" t="s">
        <v>154</v>
      </c>
      <c r="I138" s="96" t="s">
        <v>155</v>
      </c>
      <c r="J138" s="64" t="s">
        <v>54</v>
      </c>
      <c r="K138" s="96" t="s">
        <v>55</v>
      </c>
      <c r="L138" s="93" t="s">
        <v>320</v>
      </c>
    </row>
    <row r="139" spans="1:12" x14ac:dyDescent="0.2">
      <c r="B139" s="134" t="s">
        <v>321</v>
      </c>
      <c r="C139" s="133" t="s">
        <v>322</v>
      </c>
      <c r="D139" s="98"/>
      <c r="E139" s="100">
        <v>2E-3</v>
      </c>
      <c r="F139" s="95">
        <v>0.124</v>
      </c>
      <c r="G139" s="64">
        <f>EXP(-F139/$M$9)</f>
        <v>0.81116588628804143</v>
      </c>
      <c r="H139" s="64">
        <f>G139/G$142</f>
        <v>0.81119549385723244</v>
      </c>
      <c r="I139" s="101">
        <v>0.81100000000000005</v>
      </c>
      <c r="J139" s="101">
        <v>0.96399999999999997</v>
      </c>
      <c r="K139" s="101">
        <v>0.98899999999999999</v>
      </c>
      <c r="L139" s="93" t="s">
        <v>323</v>
      </c>
    </row>
    <row r="140" spans="1:12" x14ac:dyDescent="0.2">
      <c r="B140" s="134" t="s">
        <v>324</v>
      </c>
      <c r="C140" s="133" t="s">
        <v>325</v>
      </c>
      <c r="D140" s="98"/>
      <c r="E140" s="100">
        <v>0</v>
      </c>
      <c r="F140" s="95">
        <v>0.99299999999999999</v>
      </c>
      <c r="G140" s="64">
        <f>EXP(-F140/$M$9)</f>
        <v>0.18713043964445561</v>
      </c>
      <c r="H140" s="64">
        <f t="shared" ref="H140:H141" si="19">G140/G$142</f>
        <v>0.18713726990881113</v>
      </c>
      <c r="I140" s="101">
        <v>0.187</v>
      </c>
      <c r="J140" s="101">
        <v>3.5999999999999997E-2</v>
      </c>
      <c r="K140" s="101">
        <v>1.0999999999999999E-2</v>
      </c>
      <c r="L140" s="93" t="s">
        <v>326</v>
      </c>
    </row>
    <row r="141" spans="1:12" x14ac:dyDescent="0.2">
      <c r="B141" s="135" t="s">
        <v>327</v>
      </c>
      <c r="C141" s="136" t="s">
        <v>328</v>
      </c>
      <c r="D141" s="98"/>
      <c r="E141" s="100">
        <v>1</v>
      </c>
      <c r="F141" s="95">
        <v>3.79</v>
      </c>
      <c r="G141" s="103">
        <f>EXP(-F141/$M$9)</f>
        <v>1.6671753820254448E-3</v>
      </c>
      <c r="H141" s="64">
        <f t="shared" si="19"/>
        <v>1.6672362339563646E-3</v>
      </c>
      <c r="I141" s="104">
        <v>2E-3</v>
      </c>
      <c r="J141" s="104">
        <v>0</v>
      </c>
      <c r="K141" s="113">
        <v>0</v>
      </c>
      <c r="L141" s="102" t="s">
        <v>327</v>
      </c>
    </row>
    <row r="142" spans="1:12" x14ac:dyDescent="0.2">
      <c r="B142" s="134"/>
      <c r="C142" s="133"/>
      <c r="D142" s="98" t="s">
        <v>172</v>
      </c>
      <c r="E142" s="100"/>
      <c r="F142" s="95"/>
      <c r="G142" s="64">
        <f>SUM(G139:G141)</f>
        <v>0.9999635013145225</v>
      </c>
      <c r="H142" s="64">
        <f>SUM(H139:H141)</f>
        <v>0.99999999999999989</v>
      </c>
      <c r="I142" s="101">
        <f>SUM(I139:I141)</f>
        <v>1</v>
      </c>
      <c r="J142" s="101">
        <f>SUM(J139:J141)</f>
        <v>1</v>
      </c>
      <c r="K142" s="112">
        <f>SUM(K139:K141)</f>
        <v>1</v>
      </c>
      <c r="L142" s="93"/>
    </row>
    <row r="143" spans="1:12" x14ac:dyDescent="0.2">
      <c r="B143" s="58"/>
      <c r="D143" s="105" t="s">
        <v>173</v>
      </c>
      <c r="E143" s="106">
        <v>3.0000000000000001E-3</v>
      </c>
      <c r="F143" s="107"/>
      <c r="G143" s="96"/>
      <c r="H143" s="96">
        <f>SUMPRODUCT($E139:$E141, H139:H141)</f>
        <v>3.2896272216708295E-3</v>
      </c>
      <c r="I143" s="96">
        <f>SUMPRODUCT($E139:$E141, I139:I141)</f>
        <v>3.6220000000000002E-3</v>
      </c>
      <c r="J143" s="96">
        <f t="shared" ref="J143:K143" si="20">SUMPRODUCT($E139:$E141, J139:J141)</f>
        <v>1.928E-3</v>
      </c>
      <c r="K143" s="96">
        <f t="shared" si="20"/>
        <v>1.9780000000000002E-3</v>
      </c>
      <c r="L143" s="55"/>
    </row>
    <row r="144" spans="1:12" x14ac:dyDescent="0.2">
      <c r="B144" s="58"/>
      <c r="C144" s="137"/>
      <c r="D144" s="105"/>
      <c r="E144" s="108"/>
      <c r="F144" s="95"/>
      <c r="G144" s="64"/>
      <c r="H144" s="64"/>
      <c r="I144" s="64"/>
      <c r="J144" s="64"/>
      <c r="K144" s="96"/>
      <c r="L144" s="55"/>
    </row>
    <row r="145" spans="2:15" x14ac:dyDescent="0.2">
      <c r="B145" s="58"/>
      <c r="C145" s="133" t="s">
        <v>149</v>
      </c>
      <c r="D145" s="93" t="s">
        <v>329</v>
      </c>
      <c r="E145" s="99" t="s">
        <v>151</v>
      </c>
      <c r="F145" s="95" t="s">
        <v>152</v>
      </c>
      <c r="G145" s="64" t="s">
        <v>153</v>
      </c>
      <c r="H145" s="64" t="s">
        <v>154</v>
      </c>
      <c r="I145" s="96" t="s">
        <v>155</v>
      </c>
      <c r="J145" s="64" t="s">
        <v>56</v>
      </c>
      <c r="L145" s="93" t="s">
        <v>329</v>
      </c>
    </row>
    <row r="146" spans="2:15" x14ac:dyDescent="0.2">
      <c r="B146" s="134" t="s">
        <v>330</v>
      </c>
      <c r="C146" s="133" t="s">
        <v>331</v>
      </c>
      <c r="D146" s="98" t="s">
        <v>332</v>
      </c>
      <c r="E146" s="100">
        <v>4.0000000000000001E-3</v>
      </c>
      <c r="F146" s="95">
        <v>0</v>
      </c>
      <c r="G146" s="64">
        <f>EXP(-F146/$M$9)</f>
        <v>1</v>
      </c>
      <c r="H146" s="64">
        <f>G146/G$149</f>
        <v>0.99988066244008789</v>
      </c>
      <c r="I146" s="112">
        <v>1</v>
      </c>
      <c r="J146" s="101">
        <v>1</v>
      </c>
      <c r="L146" s="93" t="s">
        <v>333</v>
      </c>
    </row>
    <row r="147" spans="2:15" x14ac:dyDescent="0.2">
      <c r="B147" s="134" t="s">
        <v>334</v>
      </c>
      <c r="C147" s="133" t="s">
        <v>335</v>
      </c>
      <c r="D147" s="98" t="s">
        <v>336</v>
      </c>
      <c r="E147" s="100">
        <v>-1.0009999999999999</v>
      </c>
      <c r="F147" s="95">
        <v>5.7629999999999999</v>
      </c>
      <c r="G147" s="64">
        <f>EXP(-F147/$M$9)</f>
        <v>5.9675901532453E-5</v>
      </c>
      <c r="H147" s="64">
        <f t="shared" ref="H147:H148" si="21">G147/G$149</f>
        <v>5.9668779955978558E-5</v>
      </c>
      <c r="I147" s="112">
        <v>0</v>
      </c>
      <c r="J147" s="101">
        <v>0</v>
      </c>
      <c r="L147" s="93" t="s">
        <v>337</v>
      </c>
      <c r="M147" s="147" t="s">
        <v>338</v>
      </c>
      <c r="N147" s="147"/>
      <c r="O147" s="147"/>
    </row>
    <row r="148" spans="2:15" x14ac:dyDescent="0.2">
      <c r="B148" s="135" t="s">
        <v>339</v>
      </c>
      <c r="C148" s="136" t="s">
        <v>335</v>
      </c>
      <c r="D148" s="98" t="s">
        <v>340</v>
      </c>
      <c r="E148" s="100">
        <v>-1.006</v>
      </c>
      <c r="F148" s="95">
        <v>5.7629999999999999</v>
      </c>
      <c r="G148" s="103">
        <f>EXP(-F148/$M$9)</f>
        <v>5.9675901532453E-5</v>
      </c>
      <c r="H148" s="64">
        <f t="shared" si="21"/>
        <v>5.9668779955978558E-5</v>
      </c>
      <c r="I148" s="113">
        <v>0</v>
      </c>
      <c r="J148" s="104">
        <v>0</v>
      </c>
      <c r="L148" s="102" t="s">
        <v>341</v>
      </c>
      <c r="M148" s="147" t="s">
        <v>342</v>
      </c>
      <c r="N148" s="147"/>
      <c r="O148" s="147"/>
    </row>
    <row r="149" spans="2:15" x14ac:dyDescent="0.2">
      <c r="B149" s="134"/>
      <c r="C149" s="133"/>
      <c r="D149" s="98" t="s">
        <v>172</v>
      </c>
      <c r="E149" s="100"/>
      <c r="F149" s="95"/>
      <c r="G149" s="64">
        <f>SUM(G146:G148)</f>
        <v>1.0001193518030651</v>
      </c>
      <c r="H149" s="64">
        <f>SUM(H146:H148)</f>
        <v>0.99999999999999989</v>
      </c>
      <c r="I149" s="112">
        <f>SUM(I146:I148)</f>
        <v>1</v>
      </c>
      <c r="J149" s="101">
        <f>SUM(J146:J148)</f>
        <v>1</v>
      </c>
      <c r="L149" s="93"/>
      <c r="M149" s="147"/>
      <c r="N149" s="147"/>
      <c r="O149" s="147"/>
    </row>
    <row r="150" spans="2:15" x14ac:dyDescent="0.2">
      <c r="B150" s="58"/>
      <c r="D150" s="105" t="s">
        <v>173</v>
      </c>
      <c r="E150" s="106">
        <v>0</v>
      </c>
      <c r="F150" s="95"/>
      <c r="G150" s="96"/>
      <c r="H150" s="96">
        <f>SUMPRODUCT($E146:$E148, H146:H148)</f>
        <v>3.8797674083887023E-3</v>
      </c>
      <c r="I150" s="96">
        <f>SUMPRODUCT($E146:$E148, I146:I148)</f>
        <v>4.0000000000000001E-3</v>
      </c>
      <c r="J150" s="96">
        <f>SUMPRODUCT($E146:$E148, J146:J148)</f>
        <v>4.0000000000000001E-3</v>
      </c>
      <c r="L150" s="55"/>
    </row>
    <row r="151" spans="2:15" x14ac:dyDescent="0.2">
      <c r="B151" s="58"/>
      <c r="C151" s="137"/>
      <c r="D151" s="105"/>
      <c r="E151" s="94"/>
      <c r="F151" s="107"/>
      <c r="G151" s="64"/>
      <c r="H151" s="64"/>
      <c r="I151" s="96"/>
      <c r="J151" s="64"/>
      <c r="L151" s="55"/>
    </row>
    <row r="152" spans="2:15" x14ac:dyDescent="0.2">
      <c r="B152" s="58"/>
      <c r="C152" s="133" t="s">
        <v>149</v>
      </c>
      <c r="D152" s="93" t="s">
        <v>343</v>
      </c>
      <c r="E152" s="99" t="s">
        <v>151</v>
      </c>
      <c r="F152" s="95" t="s">
        <v>152</v>
      </c>
      <c r="G152" s="64" t="s">
        <v>153</v>
      </c>
      <c r="H152" s="64" t="s">
        <v>154</v>
      </c>
      <c r="I152" s="96" t="s">
        <v>155</v>
      </c>
      <c r="J152" s="64" t="s">
        <v>57</v>
      </c>
      <c r="K152" s="96" t="s">
        <v>58</v>
      </c>
      <c r="L152" s="93" t="s">
        <v>343</v>
      </c>
    </row>
    <row r="153" spans="2:15" x14ac:dyDescent="0.2">
      <c r="B153" s="134" t="s">
        <v>344</v>
      </c>
      <c r="C153" s="133" t="s">
        <v>345</v>
      </c>
      <c r="D153" s="98"/>
      <c r="E153" s="100">
        <v>0</v>
      </c>
      <c r="F153" s="95">
        <v>4.0000000000000001E-3</v>
      </c>
      <c r="G153" s="64">
        <f>EXP(-F153/$M$9)</f>
        <v>0.99327168232307661</v>
      </c>
      <c r="H153" s="64">
        <f>G153/G$157</f>
        <v>0.99326665460921482</v>
      </c>
      <c r="I153" s="101">
        <v>0.99199999999999999</v>
      </c>
      <c r="J153" s="101">
        <v>1</v>
      </c>
      <c r="K153" s="112">
        <v>1</v>
      </c>
      <c r="L153" s="93" t="s">
        <v>346</v>
      </c>
    </row>
    <row r="154" spans="2:15" x14ac:dyDescent="0.2">
      <c r="B154" s="134" t="s">
        <v>347</v>
      </c>
      <c r="C154" s="133" t="s">
        <v>348</v>
      </c>
      <c r="D154" s="98"/>
      <c r="E154" s="100">
        <v>1.002</v>
      </c>
      <c r="F154" s="95">
        <v>3.2069999999999999</v>
      </c>
      <c r="G154" s="64">
        <f>EXP(-F154/$M$9)</f>
        <v>4.4597693575190809E-3</v>
      </c>
      <c r="H154" s="64">
        <f t="shared" ref="H154:H156" si="22">G154/G$157</f>
        <v>4.4597467831875882E-3</v>
      </c>
      <c r="I154" s="101">
        <v>5.0000000000000001E-3</v>
      </c>
      <c r="J154" s="101">
        <v>0</v>
      </c>
      <c r="K154" s="112">
        <v>0</v>
      </c>
      <c r="L154" s="93" t="s">
        <v>347</v>
      </c>
    </row>
    <row r="155" spans="2:15" x14ac:dyDescent="0.2">
      <c r="B155" s="134" t="s">
        <v>349</v>
      </c>
      <c r="C155" s="133" t="s">
        <v>350</v>
      </c>
      <c r="D155" s="98"/>
      <c r="E155" s="100">
        <v>0</v>
      </c>
      <c r="F155" s="95">
        <v>3.62</v>
      </c>
      <c r="G155" s="64">
        <f>EXP(-F155/$M$9)</f>
        <v>2.2212067685544851E-3</v>
      </c>
      <c r="H155" s="64">
        <f t="shared" si="22"/>
        <v>2.2211955253143337E-3</v>
      </c>
      <c r="I155" s="101">
        <v>3.0000000000000001E-3</v>
      </c>
      <c r="J155" s="101">
        <v>0</v>
      </c>
      <c r="K155" s="112">
        <v>0</v>
      </c>
      <c r="L155" s="93" t="s">
        <v>351</v>
      </c>
    </row>
    <row r="156" spans="2:15" x14ac:dyDescent="0.2">
      <c r="B156" s="135" t="s">
        <v>352</v>
      </c>
      <c r="C156" s="136" t="s">
        <v>353</v>
      </c>
      <c r="D156" s="98"/>
      <c r="E156" s="100">
        <v>-0.996</v>
      </c>
      <c r="F156" s="95">
        <v>5.84</v>
      </c>
      <c r="G156" s="103">
        <f>EXP(-F156/$M$9)</f>
        <v>5.240334753677544E-5</v>
      </c>
      <c r="H156" s="64">
        <f t="shared" si="22"/>
        <v>5.2403082283027146E-5</v>
      </c>
      <c r="I156" s="113">
        <v>0</v>
      </c>
      <c r="J156" s="104">
        <v>0</v>
      </c>
      <c r="K156" s="113">
        <v>0</v>
      </c>
      <c r="L156" s="102" t="s">
        <v>352</v>
      </c>
    </row>
    <row r="157" spans="2:15" x14ac:dyDescent="0.2">
      <c r="B157" s="134"/>
      <c r="C157" s="133"/>
      <c r="D157" s="98" t="s">
        <v>172</v>
      </c>
      <c r="E157" s="100"/>
      <c r="F157" s="95"/>
      <c r="G157" s="64">
        <f>SUM(G153:G156)</f>
        <v>1.0000050617966871</v>
      </c>
      <c r="H157" s="64">
        <f>SUM(H153:H156)</f>
        <v>0.99999999999999978</v>
      </c>
      <c r="I157" s="112">
        <f>SUM(I153:I156)</f>
        <v>1</v>
      </c>
      <c r="J157" s="101">
        <f>SUM(J153:J156)</f>
        <v>1</v>
      </c>
      <c r="K157" s="112">
        <f>SUM(K153:K156)</f>
        <v>1</v>
      </c>
      <c r="L157" s="93"/>
    </row>
    <row r="158" spans="2:15" x14ac:dyDescent="0.2">
      <c r="B158" s="58"/>
      <c r="D158" s="105" t="s">
        <v>173</v>
      </c>
      <c r="E158" s="119">
        <v>4.3431736893570954E-3</v>
      </c>
      <c r="F158" s="95"/>
      <c r="G158" s="96"/>
      <c r="H158" s="96">
        <f>SUMPRODUCT($E153:$E156, H153:H156)</f>
        <v>4.416472806800068E-3</v>
      </c>
      <c r="I158" s="96">
        <f>SUMPRODUCT($E153:$E156, I153:I156)</f>
        <v>5.0099999999999997E-3</v>
      </c>
      <c r="J158" s="96">
        <f t="shared" ref="J158:K158" si="23">SUMPRODUCT($E153:$E156, J153:J156)</f>
        <v>0</v>
      </c>
      <c r="K158" s="96">
        <f t="shared" si="23"/>
        <v>0</v>
      </c>
      <c r="L158" s="55"/>
    </row>
    <row r="159" spans="2:15" x14ac:dyDescent="0.2">
      <c r="B159" s="58"/>
      <c r="C159" s="137"/>
      <c r="E159" s="94"/>
      <c r="F159" s="107"/>
      <c r="G159" s="64"/>
      <c r="H159" s="64"/>
      <c r="I159" s="96"/>
      <c r="J159" s="64"/>
      <c r="K159" s="96"/>
      <c r="L159" s="55"/>
    </row>
    <row r="160" spans="2:15" x14ac:dyDescent="0.2">
      <c r="B160" s="58"/>
      <c r="C160" s="133" t="s">
        <v>149</v>
      </c>
      <c r="D160" s="93" t="s">
        <v>354</v>
      </c>
      <c r="E160" s="99" t="s">
        <v>151</v>
      </c>
      <c r="F160" s="95" t="s">
        <v>152</v>
      </c>
      <c r="G160" s="64" t="s">
        <v>153</v>
      </c>
      <c r="H160" s="64" t="s">
        <v>154</v>
      </c>
      <c r="I160" s="96" t="s">
        <v>155</v>
      </c>
      <c r="J160" s="64" t="s">
        <v>59</v>
      </c>
      <c r="L160" s="93" t="s">
        <v>354</v>
      </c>
    </row>
    <row r="161" spans="2:12" x14ac:dyDescent="0.2">
      <c r="B161" s="134" t="s">
        <v>355</v>
      </c>
      <c r="C161" s="133" t="s">
        <v>356</v>
      </c>
      <c r="D161" s="98"/>
      <c r="E161" s="100">
        <v>1</v>
      </c>
      <c r="F161" s="95">
        <v>8.0000000000000002E-3</v>
      </c>
      <c r="G161" s="64">
        <f>EXP(-F161/$M$9)</f>
        <v>0.98658863490491489</v>
      </c>
      <c r="H161" s="64">
        <f>G161/G$165</f>
        <v>0.9868575623153284</v>
      </c>
      <c r="I161" s="101">
        <v>0.98699999999999999</v>
      </c>
      <c r="J161" s="101">
        <v>0.88600000000000001</v>
      </c>
      <c r="L161" s="93" t="s">
        <v>355</v>
      </c>
    </row>
    <row r="162" spans="2:12" x14ac:dyDescent="0.2">
      <c r="B162" s="134" t="s">
        <v>357</v>
      </c>
      <c r="C162" s="133" t="s">
        <v>358</v>
      </c>
      <c r="D162" s="98"/>
      <c r="E162" s="100">
        <v>2E-3</v>
      </c>
      <c r="F162" s="95">
        <v>2.573</v>
      </c>
      <c r="G162" s="64">
        <f>EXP(-F162/$M$9)</f>
        <v>1.3002468775336944E-2</v>
      </c>
      <c r="H162" s="64">
        <f t="shared" ref="H162:H164" si="24">G162/G$165</f>
        <v>1.3006013028871824E-2</v>
      </c>
      <c r="I162" s="101">
        <v>1.2999999999999999E-2</v>
      </c>
      <c r="J162" s="101">
        <v>0.114</v>
      </c>
      <c r="L162" s="93" t="s">
        <v>359</v>
      </c>
    </row>
    <row r="163" spans="2:12" x14ac:dyDescent="0.2">
      <c r="B163" s="134" t="s">
        <v>360</v>
      </c>
      <c r="C163" s="133" t="s">
        <v>361</v>
      </c>
      <c r="D163" s="98"/>
      <c r="E163" s="100">
        <v>1E-3</v>
      </c>
      <c r="F163" s="95">
        <v>5.6760000000000002</v>
      </c>
      <c r="G163" s="64">
        <f>EXP(-F163/$M$9)</f>
        <v>6.9114442838924523E-5</v>
      </c>
      <c r="H163" s="64">
        <f t="shared" si="24"/>
        <v>6.9133282269541566E-5</v>
      </c>
      <c r="I163" s="112">
        <v>0</v>
      </c>
      <c r="J163" s="101">
        <f>0*2</f>
        <v>0</v>
      </c>
      <c r="L163" s="93" t="s">
        <v>362</v>
      </c>
    </row>
    <row r="164" spans="2:12" x14ac:dyDescent="0.2">
      <c r="B164" s="135" t="s">
        <v>363</v>
      </c>
      <c r="C164" s="136" t="s">
        <v>364</v>
      </c>
      <c r="D164" s="98"/>
      <c r="E164" s="100">
        <v>2E-3</v>
      </c>
      <c r="F164" s="95">
        <v>5.6920000000000002</v>
      </c>
      <c r="G164" s="103">
        <f>EXP(-F164/$M$9)</f>
        <v>6.7273036035886763E-5</v>
      </c>
      <c r="H164" s="64">
        <f t="shared" si="24"/>
        <v>6.7291373530088211E-5</v>
      </c>
      <c r="I164" s="113">
        <v>0</v>
      </c>
      <c r="J164" s="104">
        <v>0</v>
      </c>
      <c r="L164" s="102" t="s">
        <v>365</v>
      </c>
    </row>
    <row r="165" spans="2:12" x14ac:dyDescent="0.2">
      <c r="B165" s="134"/>
      <c r="C165" s="133"/>
      <c r="D165" s="98" t="s">
        <v>172</v>
      </c>
      <c r="E165" s="100"/>
      <c r="F165" s="95"/>
      <c r="G165" s="64">
        <f>SUM(G161:G164)</f>
        <v>0.99972749115912674</v>
      </c>
      <c r="H165" s="64">
        <f>SUM(H161:H164)</f>
        <v>0.99999999999999989</v>
      </c>
      <c r="I165" s="112">
        <f>SUM(I161:I164)</f>
        <v>1</v>
      </c>
      <c r="J165" s="101">
        <f>SUM(J161:J164)</f>
        <v>1</v>
      </c>
      <c r="L165" s="93"/>
    </row>
    <row r="166" spans="2:12" x14ac:dyDescent="0.2">
      <c r="B166" s="58"/>
      <c r="D166" s="105" t="s">
        <v>173</v>
      </c>
      <c r="E166" s="180">
        <v>0.98699999999999999</v>
      </c>
      <c r="F166" s="95"/>
      <c r="G166" s="96"/>
      <c r="H166" s="96">
        <f>SUMPRODUCT($E161:$E164, H161:H164)</f>
        <v>0.98688377805741556</v>
      </c>
      <c r="I166" s="96">
        <f>SUMPRODUCT($E161:$E164, I161:I164)</f>
        <v>0.98702599999999996</v>
      </c>
      <c r="J166" s="96">
        <f>SUMPRODUCT($E161:$E164, J161:J164)</f>
        <v>0.88622800000000002</v>
      </c>
      <c r="L166" s="55"/>
    </row>
    <row r="167" spans="2:12" x14ac:dyDescent="0.2">
      <c r="B167" s="134"/>
      <c r="C167" s="137"/>
      <c r="D167" s="105"/>
      <c r="E167" s="94"/>
      <c r="F167" s="107"/>
      <c r="G167" s="64"/>
      <c r="H167" s="64"/>
      <c r="I167" s="96"/>
      <c r="J167" s="64"/>
      <c r="L167" s="93"/>
    </row>
  </sheetData>
  <conditionalFormatting sqref="C19:C23">
    <cfRule type="expression" dxfId="56" priority="16">
      <formula>C19&lt;&gt;C19</formula>
    </cfRule>
  </conditionalFormatting>
  <conditionalFormatting sqref="C28:C30">
    <cfRule type="expression" dxfId="55" priority="15">
      <formula>C28&lt;&gt;C28</formula>
    </cfRule>
  </conditionalFormatting>
  <conditionalFormatting sqref="C42:C44">
    <cfRule type="expression" dxfId="54" priority="14">
      <formula>C42&lt;&gt;C42</formula>
    </cfRule>
  </conditionalFormatting>
  <conditionalFormatting sqref="C49:C52">
    <cfRule type="expression" dxfId="53" priority="13">
      <formula>C49&lt;&gt;C49</formula>
    </cfRule>
  </conditionalFormatting>
  <conditionalFormatting sqref="C59:C60">
    <cfRule type="expression" dxfId="52" priority="12">
      <formula>C59&lt;&gt;C59</formula>
    </cfRule>
  </conditionalFormatting>
  <conditionalFormatting sqref="C67:C69">
    <cfRule type="expression" dxfId="51" priority="11">
      <formula>C67&lt;&gt;C67</formula>
    </cfRule>
  </conditionalFormatting>
  <conditionalFormatting sqref="C76:C78">
    <cfRule type="expression" dxfId="50" priority="10">
      <formula>C76&lt;&gt;C76</formula>
    </cfRule>
  </conditionalFormatting>
  <conditionalFormatting sqref="C92:C94">
    <cfRule type="expression" dxfId="49" priority="9">
      <formula>C92&lt;&gt;C92</formula>
    </cfRule>
  </conditionalFormatting>
  <conditionalFormatting sqref="C99:C105">
    <cfRule type="expression" dxfId="48" priority="8">
      <formula>C99&lt;&gt;C99</formula>
    </cfRule>
  </conditionalFormatting>
  <conditionalFormatting sqref="C112:C113">
    <cfRule type="expression" dxfId="47" priority="7">
      <formula>C112&lt;&gt;C112</formula>
    </cfRule>
  </conditionalFormatting>
  <conditionalFormatting sqref="C120:C122">
    <cfRule type="expression" dxfId="46" priority="6">
      <formula>C120&lt;&gt;C120</formula>
    </cfRule>
  </conditionalFormatting>
  <conditionalFormatting sqref="C129:C132">
    <cfRule type="expression" dxfId="45" priority="5">
      <formula>C129&lt;&gt;C129</formula>
    </cfRule>
  </conditionalFormatting>
  <conditionalFormatting sqref="C139:C141">
    <cfRule type="expression" dxfId="44" priority="4">
      <formula>C139&lt;&gt;C139</formula>
    </cfRule>
  </conditionalFormatting>
  <conditionalFormatting sqref="C146:C147">
    <cfRule type="expression" dxfId="43" priority="3">
      <formula>C146&lt;&gt;C146</formula>
    </cfRule>
  </conditionalFormatting>
  <conditionalFormatting sqref="C153:C156">
    <cfRule type="expression" dxfId="42" priority="2">
      <formula>C153&lt;&gt;C153</formula>
    </cfRule>
  </conditionalFormatting>
  <conditionalFormatting sqref="C161:C164">
    <cfRule type="expression" dxfId="41" priority="1">
      <formula>C161&lt;&gt;C161</formula>
    </cfRule>
  </conditionalFormatting>
  <conditionalFormatting sqref="E1:E1048576">
    <cfRule type="cellIs" dxfId="40" priority="19" operator="between">
      <formula>1.99</formula>
      <formula>2.01</formula>
    </cfRule>
    <cfRule type="cellIs" dxfId="39" priority="20" operator="between">
      <formula>1.01</formula>
      <formula>1.99</formula>
    </cfRule>
    <cfRule type="cellIs" dxfId="38" priority="21" operator="between">
      <formula>0.99</formula>
      <formula>1.01</formula>
    </cfRule>
    <cfRule type="cellIs" dxfId="37" priority="22" operator="between">
      <formula>0.01</formula>
      <formula>0.99</formula>
    </cfRule>
    <cfRule type="cellIs" dxfId="36" priority="23" operator="between">
      <formula>-0.01</formula>
      <formula>0.01</formula>
    </cfRule>
    <cfRule type="cellIs" dxfId="35" priority="24" operator="between">
      <formula>-0.01</formula>
      <formula>-0.99</formula>
    </cfRule>
    <cfRule type="cellIs" dxfId="34" priority="25" operator="between">
      <formula>-0.99</formula>
      <formula>-1.01</formula>
    </cfRule>
  </conditionalFormatting>
  <conditionalFormatting sqref="M8:M9">
    <cfRule type="containsText" dxfId="33" priority="26" operator="containsText" text="FALSE">
      <formula>NOT(ISERROR(SEARCH("FALSE",M8)))</formula>
    </cfRule>
    <cfRule type="containsText" dxfId="32" priority="27" operator="containsText" text="TRUE">
      <formula>NOT(ISERROR(SEARCH("TRUE",M8)))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D616-23F9-D84F-A0CB-89C788503028}">
  <dimension ref="A1:Q167"/>
  <sheetViews>
    <sheetView tabSelected="1" topLeftCell="A58" zoomScale="82" workbookViewId="0">
      <selection activeCell="O79" sqref="O79"/>
    </sheetView>
  </sheetViews>
  <sheetFormatPr baseColWidth="10" defaultColWidth="8.83203125" defaultRowHeight="16" x14ac:dyDescent="0.2"/>
  <cols>
    <col min="2" max="2" width="8.83203125" style="132"/>
    <col min="3" max="3" width="21.6640625" style="132" bestFit="1" customWidth="1"/>
    <col min="4" max="4" width="16" customWidth="1"/>
    <col min="7" max="7" width="16.33203125" bestFit="1" customWidth="1"/>
    <col min="8" max="8" width="9.6640625" bestFit="1" customWidth="1"/>
  </cols>
  <sheetData>
    <row r="1" spans="2:14" x14ac:dyDescent="0.2">
      <c r="D1" t="s">
        <v>142</v>
      </c>
    </row>
    <row r="2" spans="2:14" x14ac:dyDescent="0.2">
      <c r="D2" t="s">
        <v>143</v>
      </c>
    </row>
    <row r="7" spans="2:14" x14ac:dyDescent="0.2">
      <c r="C7" s="140"/>
      <c r="D7" s="91"/>
      <c r="E7" s="91"/>
      <c r="F7" s="91"/>
      <c r="G7" s="100"/>
      <c r="H7" s="91"/>
      <c r="I7" s="91"/>
      <c r="L7" s="56" t="s">
        <v>144</v>
      </c>
    </row>
    <row r="8" spans="2:14" x14ac:dyDescent="0.2">
      <c r="L8" s="107" t="s">
        <v>145</v>
      </c>
      <c r="M8" s="92" t="s">
        <v>146</v>
      </c>
    </row>
    <row r="9" spans="2:14" x14ac:dyDescent="0.2">
      <c r="B9" s="58"/>
      <c r="D9" s="187" t="s">
        <v>386</v>
      </c>
      <c r="E9" s="188"/>
      <c r="F9" s="189"/>
      <c r="G9" s="64"/>
      <c r="H9" s="64"/>
      <c r="I9" s="96"/>
      <c r="L9" s="107" t="s">
        <v>147</v>
      </c>
      <c r="M9" s="97">
        <f>0.5925</f>
        <v>0.59250000000000003</v>
      </c>
      <c r="N9" s="92" t="s">
        <v>148</v>
      </c>
    </row>
    <row r="10" spans="2:14" x14ac:dyDescent="0.2">
      <c r="B10" s="58"/>
      <c r="C10" s="133" t="s">
        <v>149</v>
      </c>
      <c r="D10" s="93" t="s">
        <v>150</v>
      </c>
      <c r="E10" s="99" t="s">
        <v>151</v>
      </c>
      <c r="F10" s="95" t="s">
        <v>152</v>
      </c>
      <c r="G10" s="64" t="s">
        <v>153</v>
      </c>
      <c r="H10" s="64" t="s">
        <v>154</v>
      </c>
      <c r="I10" s="96" t="s">
        <v>155</v>
      </c>
      <c r="J10" s="64" t="s">
        <v>24</v>
      </c>
      <c r="L10" s="93" t="s">
        <v>150</v>
      </c>
    </row>
    <row r="11" spans="2:14" x14ac:dyDescent="0.2">
      <c r="B11" s="134" t="s">
        <v>156</v>
      </c>
      <c r="C11" s="133" t="s">
        <v>157</v>
      </c>
      <c r="D11" s="98" t="s">
        <v>158</v>
      </c>
      <c r="E11" s="100">
        <v>1</v>
      </c>
      <c r="F11" s="95">
        <v>7.0999999999999994E-2</v>
      </c>
      <c r="G11" s="64">
        <f>EXP(-F11/$M$9)</f>
        <v>0.88707014056298616</v>
      </c>
      <c r="H11" s="64">
        <f>G11/G$15</f>
        <v>0.88723417447251562</v>
      </c>
      <c r="I11" s="64">
        <v>0.88700000000000001</v>
      </c>
      <c r="J11" s="101">
        <v>0.56000000000000005</v>
      </c>
      <c r="L11" s="93" t="s">
        <v>159</v>
      </c>
    </row>
    <row r="12" spans="2:14" x14ac:dyDescent="0.2">
      <c r="B12" s="134" t="s">
        <v>160</v>
      </c>
      <c r="C12" s="133" t="s">
        <v>161</v>
      </c>
      <c r="D12" s="98" t="s">
        <v>162</v>
      </c>
      <c r="E12" s="100">
        <v>1</v>
      </c>
      <c r="F12" s="95">
        <v>1.6950000000000001</v>
      </c>
      <c r="G12" s="64">
        <f>EXP(-F12/$M$9)</f>
        <v>5.722528151751316E-2</v>
      </c>
      <c r="H12" s="64">
        <f t="shared" ref="H12:H14" si="0">G12/G$15</f>
        <v>5.7235863416533327E-2</v>
      </c>
      <c r="I12" s="64">
        <v>5.7000000000000002E-2</v>
      </c>
      <c r="J12" s="101">
        <v>0.39400000000000002</v>
      </c>
      <c r="L12" s="93" t="s">
        <v>163</v>
      </c>
    </row>
    <row r="13" spans="2:14" x14ac:dyDescent="0.2">
      <c r="B13" s="134" t="s">
        <v>164</v>
      </c>
      <c r="C13" s="133" t="s">
        <v>165</v>
      </c>
      <c r="D13" s="98" t="s">
        <v>166</v>
      </c>
      <c r="E13" s="100">
        <v>0</v>
      </c>
      <c r="F13" s="95">
        <v>1.7150000000000001</v>
      </c>
      <c r="G13" s="64">
        <f>EXP(-F13/$M$9)</f>
        <v>5.5325864466104623E-2</v>
      </c>
      <c r="H13" s="64">
        <f t="shared" si="0"/>
        <v>5.533609513156329E-2</v>
      </c>
      <c r="I13" s="64">
        <v>5.5E-2</v>
      </c>
      <c r="J13" s="101">
        <v>4.5999999999999999E-2</v>
      </c>
      <c r="L13" s="93" t="s">
        <v>167</v>
      </c>
    </row>
    <row r="14" spans="2:14" x14ac:dyDescent="0.2">
      <c r="B14" s="135" t="s">
        <v>168</v>
      </c>
      <c r="C14" s="136" t="s">
        <v>169</v>
      </c>
      <c r="D14" s="98" t="s">
        <v>170</v>
      </c>
      <c r="E14" s="100">
        <v>0</v>
      </c>
      <c r="F14" s="95">
        <v>5.0650000000000004</v>
      </c>
      <c r="G14" s="103">
        <f>EXP(-F14/$M$9)</f>
        <v>1.9383113681144482E-4</v>
      </c>
      <c r="H14" s="64">
        <f t="shared" si="0"/>
        <v>1.9386697938770326E-4</v>
      </c>
      <c r="I14" s="103">
        <v>0</v>
      </c>
      <c r="J14" s="104">
        <v>0</v>
      </c>
      <c r="L14" s="102" t="s">
        <v>171</v>
      </c>
    </row>
    <row r="15" spans="2:14" x14ac:dyDescent="0.2">
      <c r="B15" s="134"/>
      <c r="C15" s="133"/>
      <c r="D15" s="98" t="s">
        <v>172</v>
      </c>
      <c r="E15" s="100"/>
      <c r="F15" s="95"/>
      <c r="G15" s="64">
        <f>SUM(G11:G14)</f>
        <v>0.99981511768341547</v>
      </c>
      <c r="H15" s="126">
        <f>SUM(H11:H14)</f>
        <v>1</v>
      </c>
      <c r="I15" s="64">
        <f>SUM(I11:I14)</f>
        <v>0.99900000000000011</v>
      </c>
      <c r="J15" s="101">
        <f>SUM(J11:J14)</f>
        <v>1</v>
      </c>
      <c r="L15" s="93"/>
    </row>
    <row r="16" spans="2:14" x14ac:dyDescent="0.2">
      <c r="B16" s="134"/>
      <c r="D16" s="105" t="s">
        <v>173</v>
      </c>
      <c r="E16" s="106">
        <v>0.94499999999999995</v>
      </c>
      <c r="F16" s="107"/>
      <c r="G16" s="96"/>
      <c r="H16" s="96">
        <f>SUMPRODUCT($E11:$E14, H11:H14)</f>
        <v>0.94447003788904893</v>
      </c>
      <c r="I16" s="96">
        <f>SUMPRODUCT($E11:$E14, I11:I14)</f>
        <v>0.94400000000000006</v>
      </c>
      <c r="J16" s="96">
        <f>SUMPRODUCT($E11:$E14, J11:J14)</f>
        <v>0.95400000000000007</v>
      </c>
      <c r="L16" s="55"/>
    </row>
    <row r="17" spans="2:14" x14ac:dyDescent="0.2">
      <c r="B17" s="134"/>
      <c r="C17" s="134"/>
      <c r="D17" s="93"/>
      <c r="E17" s="94"/>
      <c r="F17" s="107"/>
      <c r="G17" s="64"/>
      <c r="H17" s="64"/>
      <c r="I17" s="96"/>
      <c r="K17" s="96"/>
      <c r="L17" s="55"/>
    </row>
    <row r="18" spans="2:14" x14ac:dyDescent="0.2">
      <c r="B18" s="58"/>
      <c r="C18" s="133" t="s">
        <v>149</v>
      </c>
      <c r="D18" s="12" t="s">
        <v>174</v>
      </c>
      <c r="E18" s="99" t="s">
        <v>151</v>
      </c>
      <c r="F18" s="95" t="s">
        <v>152</v>
      </c>
      <c r="G18" s="64" t="s">
        <v>153</v>
      </c>
      <c r="H18" s="64" t="s">
        <v>154</v>
      </c>
      <c r="I18" s="96" t="s">
        <v>155</v>
      </c>
      <c r="J18" s="64" t="s">
        <v>25</v>
      </c>
      <c r="K18" s="96" t="s">
        <v>26</v>
      </c>
      <c r="L18" s="93" t="s">
        <v>174</v>
      </c>
    </row>
    <row r="19" spans="2:14" x14ac:dyDescent="0.2">
      <c r="B19" s="134" t="s">
        <v>175</v>
      </c>
      <c r="C19" s="133" t="s">
        <v>176</v>
      </c>
      <c r="D19" s="98"/>
      <c r="E19" s="100">
        <v>1</v>
      </c>
      <c r="F19" s="95">
        <v>0.316</v>
      </c>
      <c r="G19" s="64">
        <f>EXP(-F19/$M$9)</f>
        <v>0.58664621951003182</v>
      </c>
      <c r="H19" s="64">
        <f>G19/G$24</f>
        <v>0.58696097006196024</v>
      </c>
      <c r="I19" s="109">
        <v>0.58699999999999997</v>
      </c>
      <c r="J19" s="101">
        <v>2E-3</v>
      </c>
      <c r="K19" s="101">
        <v>4.0000000000000001E-3</v>
      </c>
      <c r="L19" s="93" t="s">
        <v>177</v>
      </c>
      <c r="N19" s="148"/>
    </row>
    <row r="20" spans="2:14" x14ac:dyDescent="0.2">
      <c r="B20" s="134" t="s">
        <v>178</v>
      </c>
      <c r="C20" s="133" t="s">
        <v>179</v>
      </c>
      <c r="D20" s="98"/>
      <c r="E20" s="100">
        <v>1</v>
      </c>
      <c r="F20" s="95">
        <v>0.57299999999999995</v>
      </c>
      <c r="G20" s="64">
        <f>EXP(-F20/$M$9)</f>
        <v>0.38018830573460877</v>
      </c>
      <c r="H20" s="64">
        <f t="shared" ref="H20:H23" si="1">G20/G$24</f>
        <v>0.38039228638783212</v>
      </c>
      <c r="I20" s="109">
        <v>0.38</v>
      </c>
      <c r="J20" s="101">
        <v>0.998</v>
      </c>
      <c r="K20" s="101">
        <v>0.996</v>
      </c>
      <c r="L20" s="93" t="s">
        <v>180</v>
      </c>
    </row>
    <row r="21" spans="2:14" x14ac:dyDescent="0.2">
      <c r="B21" s="134" t="s">
        <v>181</v>
      </c>
      <c r="C21" s="133" t="s">
        <v>182</v>
      </c>
      <c r="D21" s="98"/>
      <c r="E21" s="100">
        <v>0</v>
      </c>
      <c r="F21" s="95">
        <v>2.0310000000000001</v>
      </c>
      <c r="G21" s="64">
        <f>EXP(-F21/$M$9)</f>
        <v>3.2456709230164679E-2</v>
      </c>
      <c r="H21" s="64">
        <f t="shared" si="1"/>
        <v>3.2474123076541302E-2</v>
      </c>
      <c r="I21" s="109">
        <v>3.2000000000000001E-2</v>
      </c>
      <c r="J21" s="101">
        <v>0</v>
      </c>
      <c r="K21" s="101">
        <v>0</v>
      </c>
      <c r="L21" s="93" t="s">
        <v>183</v>
      </c>
    </row>
    <row r="22" spans="2:14" x14ac:dyDescent="0.2">
      <c r="B22" s="134" t="s">
        <v>184</v>
      </c>
      <c r="C22" s="133" t="s">
        <v>185</v>
      </c>
      <c r="D22" s="98"/>
      <c r="E22" s="100">
        <v>2</v>
      </c>
      <c r="F22" s="95">
        <v>5.43</v>
      </c>
      <c r="G22" s="64">
        <f>EXP(-F22/$M$9)</f>
        <v>1.0468476496168337E-4</v>
      </c>
      <c r="H22" s="64">
        <f t="shared" si="1"/>
        <v>1.0474093098893178E-4</v>
      </c>
      <c r="I22" s="110">
        <v>0</v>
      </c>
      <c r="J22" s="101">
        <v>0</v>
      </c>
      <c r="K22" s="101">
        <v>0</v>
      </c>
      <c r="L22" s="93" t="s">
        <v>186</v>
      </c>
    </row>
    <row r="23" spans="2:14" x14ac:dyDescent="0.2">
      <c r="B23" s="135" t="s">
        <v>187</v>
      </c>
      <c r="C23" s="136" t="s">
        <v>188</v>
      </c>
      <c r="D23" s="98"/>
      <c r="E23" s="100">
        <v>2</v>
      </c>
      <c r="F23" s="95">
        <v>5.6870000000000003</v>
      </c>
      <c r="G23" s="103">
        <f>EXP(-F23/$M$9)</f>
        <v>6.7843143113150963E-5</v>
      </c>
      <c r="H23" s="64">
        <f t="shared" si="1"/>
        <v>6.7879542677367458E-5</v>
      </c>
      <c r="I23" s="111">
        <v>0</v>
      </c>
      <c r="J23" s="104">
        <v>0</v>
      </c>
      <c r="K23" s="104">
        <v>0</v>
      </c>
      <c r="L23" s="102" t="s">
        <v>189</v>
      </c>
    </row>
    <row r="24" spans="2:14" x14ac:dyDescent="0.2">
      <c r="B24" s="134"/>
      <c r="C24" s="133"/>
      <c r="D24" s="98" t="s">
        <v>172</v>
      </c>
      <c r="E24" s="100"/>
      <c r="F24" s="95"/>
      <c r="G24" s="64">
        <f>SUM(G19:G23)</f>
        <v>0.99946376238288015</v>
      </c>
      <c r="H24" s="64">
        <f>SUM(H19:H23)</f>
        <v>1</v>
      </c>
      <c r="I24" s="110">
        <f>SUM(I19:I23)</f>
        <v>0.999</v>
      </c>
      <c r="J24" s="101">
        <f>SUM(J19:J23)</f>
        <v>1</v>
      </c>
      <c r="K24" s="101">
        <f>SUM(K19:K23)</f>
        <v>1</v>
      </c>
      <c r="L24" s="93"/>
    </row>
    <row r="25" spans="2:14" x14ac:dyDescent="0.2">
      <c r="B25" s="134"/>
      <c r="D25" s="105" t="s">
        <v>173</v>
      </c>
      <c r="E25" s="106">
        <v>0.97</v>
      </c>
      <c r="F25" s="95"/>
      <c r="G25" s="96"/>
      <c r="H25" s="96">
        <f>SUMPRODUCT($E19:$E23, H19:H23)</f>
        <v>0.96769849739712499</v>
      </c>
      <c r="I25" s="96">
        <f>SUMPRODUCT($E19:$E23, I19:I23)</f>
        <v>0.96699999999999997</v>
      </c>
      <c r="J25" s="96">
        <f>SUMPRODUCT($E19:$E23, J19:J23)</f>
        <v>1</v>
      </c>
      <c r="K25" s="96">
        <f>SUMPRODUCT($E19:$E23, K19:K23)</f>
        <v>1</v>
      </c>
      <c r="L25" s="55"/>
      <c r="M25" s="96"/>
    </row>
    <row r="26" spans="2:14" x14ac:dyDescent="0.2">
      <c r="B26" s="58"/>
      <c r="D26" s="93"/>
      <c r="E26" s="94"/>
      <c r="F26" s="107"/>
      <c r="G26" s="64"/>
      <c r="H26" s="64"/>
      <c r="I26" s="96"/>
      <c r="J26" s="64"/>
      <c r="K26" s="96"/>
      <c r="L26" s="55"/>
    </row>
    <row r="27" spans="2:14" x14ac:dyDescent="0.2">
      <c r="B27" s="58"/>
      <c r="C27" s="133" t="s">
        <v>149</v>
      </c>
      <c r="D27" s="93" t="s">
        <v>190</v>
      </c>
      <c r="E27" s="99" t="s">
        <v>151</v>
      </c>
      <c r="F27" s="95" t="s">
        <v>152</v>
      </c>
      <c r="G27" s="64" t="s">
        <v>153</v>
      </c>
      <c r="H27" s="64" t="s">
        <v>154</v>
      </c>
      <c r="I27" s="96" t="s">
        <v>155</v>
      </c>
      <c r="J27" s="64" t="s">
        <v>27</v>
      </c>
      <c r="K27" s="96" t="s">
        <v>28</v>
      </c>
      <c r="L27" s="93" t="s">
        <v>190</v>
      </c>
    </row>
    <row r="28" spans="2:14" x14ac:dyDescent="0.2">
      <c r="B28" s="134" t="s">
        <v>191</v>
      </c>
      <c r="C28" s="133" t="s">
        <v>192</v>
      </c>
      <c r="D28" s="98"/>
      <c r="E28" s="100">
        <v>0</v>
      </c>
      <c r="F28" s="95">
        <v>5.8000000000000003E-2</v>
      </c>
      <c r="G28" s="64">
        <f>EXP(-F28/$M$9)</f>
        <v>0.90674837280274623</v>
      </c>
      <c r="H28" s="64">
        <f>G28/G$31</f>
        <v>0.90636213769221163</v>
      </c>
      <c r="I28" s="112">
        <v>0.90700000000000003</v>
      </c>
      <c r="J28" s="101">
        <v>0.90700000000000003</v>
      </c>
      <c r="K28" s="101">
        <v>0.77700000000000002</v>
      </c>
      <c r="L28" s="93" t="s">
        <v>193</v>
      </c>
    </row>
    <row r="29" spans="2:14" x14ac:dyDescent="0.2">
      <c r="B29" s="134" t="s">
        <v>194</v>
      </c>
      <c r="C29" s="133" t="s">
        <v>195</v>
      </c>
      <c r="D29" s="98"/>
      <c r="E29" s="100">
        <v>1</v>
      </c>
      <c r="F29" s="95">
        <v>1.4039999999999999</v>
      </c>
      <c r="G29" s="64">
        <f>EXP(-F29/$M$9)</f>
        <v>9.351623202920914E-2</v>
      </c>
      <c r="H29" s="64">
        <f t="shared" ref="H29:H30" si="2">G29/G$31</f>
        <v>9.3476398208385242E-2</v>
      </c>
      <c r="I29" s="112">
        <v>9.2999999999999999E-2</v>
      </c>
      <c r="J29" s="101">
        <v>9.2999999999999999E-2</v>
      </c>
      <c r="K29" s="101">
        <v>0.223</v>
      </c>
      <c r="L29" s="93" t="s">
        <v>196</v>
      </c>
    </row>
    <row r="30" spans="2:14" x14ac:dyDescent="0.2">
      <c r="B30" s="135" t="s">
        <v>197</v>
      </c>
      <c r="C30" s="136" t="s">
        <v>198</v>
      </c>
      <c r="D30" s="98"/>
      <c r="E30" s="100">
        <v>1</v>
      </c>
      <c r="F30" s="95">
        <v>5.173</v>
      </c>
      <c r="G30" s="103">
        <f>EXP(-F30/$M$9)</f>
        <v>1.6153290534911193E-4</v>
      </c>
      <c r="H30" s="64">
        <f t="shared" si="2"/>
        <v>1.6146409940313638E-4</v>
      </c>
      <c r="I30" s="113">
        <v>0</v>
      </c>
      <c r="J30" s="104">
        <v>0</v>
      </c>
      <c r="K30" s="113">
        <v>0</v>
      </c>
      <c r="L30" s="102" t="s">
        <v>199</v>
      </c>
    </row>
    <row r="31" spans="2:14" x14ac:dyDescent="0.2">
      <c r="B31" s="134"/>
      <c r="C31" s="133"/>
      <c r="D31" s="98" t="s">
        <v>172</v>
      </c>
      <c r="E31" s="100"/>
      <c r="F31" s="95"/>
      <c r="G31" s="64">
        <f>SUM(G28:G30)</f>
        <v>1.0004261377373045</v>
      </c>
      <c r="H31" s="64">
        <f>SUM(H28:H30)</f>
        <v>1</v>
      </c>
      <c r="I31" s="112">
        <f>SUM(I28:I30)</f>
        <v>1</v>
      </c>
      <c r="J31" s="101">
        <f>SUM(J28:J30)</f>
        <v>1</v>
      </c>
      <c r="K31" s="112">
        <f>SUM(K28:K30)</f>
        <v>1</v>
      </c>
      <c r="L31" s="93"/>
    </row>
    <row r="32" spans="2:14" x14ac:dyDescent="0.2">
      <c r="B32" s="134"/>
      <c r="D32" s="105" t="s">
        <v>173</v>
      </c>
      <c r="E32" s="106">
        <v>9.0999999999999998E-2</v>
      </c>
      <c r="F32" s="95"/>
      <c r="G32" s="96"/>
      <c r="H32" s="96">
        <f xml:space="preserve"> SUMPRODUCT($E28:$E30,H28:H30)</f>
        <v>9.363786230778838E-2</v>
      </c>
      <c r="I32" s="96">
        <f xml:space="preserve"> SUMPRODUCT($E28:$E30,I28:I30)</f>
        <v>9.2999999999999999E-2</v>
      </c>
      <c r="J32" s="96">
        <f>SUMPRODUCT($E28:$E30, J28:J30)</f>
        <v>9.2999999999999999E-2</v>
      </c>
      <c r="K32" s="96">
        <f t="shared" ref="K32" si="3">SUMPRODUCT($E28:$E30, K28:K30)</f>
        <v>0.223</v>
      </c>
      <c r="L32" s="55"/>
    </row>
    <row r="33" spans="2:16" x14ac:dyDescent="0.2">
      <c r="B33" s="134"/>
      <c r="C33" s="137"/>
      <c r="D33" s="105"/>
      <c r="E33" s="100"/>
      <c r="F33" s="107"/>
      <c r="G33" s="64"/>
      <c r="H33" s="64"/>
      <c r="I33" s="96"/>
      <c r="J33" s="64"/>
      <c r="K33" s="96"/>
      <c r="L33" s="93"/>
    </row>
    <row r="34" spans="2:16" x14ac:dyDescent="0.2">
      <c r="B34" s="138"/>
      <c r="C34" s="138"/>
      <c r="D34" s="190" t="s">
        <v>200</v>
      </c>
      <c r="E34" s="191"/>
      <c r="F34" s="191"/>
      <c r="G34" s="120"/>
      <c r="H34" s="120"/>
      <c r="I34" s="120"/>
      <c r="J34" s="120"/>
      <c r="K34" s="120"/>
      <c r="L34" s="120"/>
      <c r="M34" s="120"/>
    </row>
    <row r="35" spans="2:16" x14ac:dyDescent="0.2">
      <c r="B35" s="58"/>
      <c r="C35" s="133" t="s">
        <v>149</v>
      </c>
      <c r="D35" s="93" t="s">
        <v>201</v>
      </c>
      <c r="E35" s="99" t="s">
        <v>151</v>
      </c>
      <c r="F35" s="95" t="s">
        <v>152</v>
      </c>
      <c r="G35" s="64" t="s">
        <v>153</v>
      </c>
      <c r="H35" s="64" t="s">
        <v>154</v>
      </c>
      <c r="I35" s="96" t="s">
        <v>155</v>
      </c>
      <c r="J35" s="64" t="s">
        <v>30</v>
      </c>
      <c r="L35" s="93" t="s">
        <v>201</v>
      </c>
    </row>
    <row r="36" spans="2:16" x14ac:dyDescent="0.2">
      <c r="B36" s="134" t="s">
        <v>202</v>
      </c>
      <c r="C36" s="133" t="s">
        <v>203</v>
      </c>
      <c r="D36" s="98"/>
      <c r="E36" s="100">
        <v>1</v>
      </c>
      <c r="F36" s="95">
        <v>0.34200000000000003</v>
      </c>
      <c r="G36" s="64">
        <f>EXP(-F36/$M$9)</f>
        <v>0.56145975027598871</v>
      </c>
      <c r="H36" s="64">
        <f>G36/G$38</f>
        <v>0.56129354556837563</v>
      </c>
      <c r="I36" s="112">
        <v>0.56100000000000005</v>
      </c>
      <c r="J36" s="101">
        <v>0.74299999999999999</v>
      </c>
      <c r="L36" s="93" t="s">
        <v>202</v>
      </c>
      <c r="O36" s="148"/>
    </row>
    <row r="37" spans="2:16" x14ac:dyDescent="0.2">
      <c r="B37" s="135" t="s">
        <v>204</v>
      </c>
      <c r="C37" s="136" t="s">
        <v>205</v>
      </c>
      <c r="D37" s="98"/>
      <c r="E37" s="100">
        <v>0</v>
      </c>
      <c r="F37" s="95">
        <v>0.48799999999999999</v>
      </c>
      <c r="G37" s="103">
        <f>EXP(-F37/$M$9)</f>
        <v>0.43883635985911856</v>
      </c>
      <c r="H37" s="64">
        <f>G37/G$38</f>
        <v>0.43870645443162437</v>
      </c>
      <c r="I37" s="113">
        <v>0.439</v>
      </c>
      <c r="J37" s="104">
        <v>0.25700000000000001</v>
      </c>
      <c r="L37" s="102" t="s">
        <v>206</v>
      </c>
    </row>
    <row r="38" spans="2:16" x14ac:dyDescent="0.2">
      <c r="B38" s="134"/>
      <c r="C38" s="133"/>
      <c r="D38" s="98" t="s">
        <v>172</v>
      </c>
      <c r="E38" s="100"/>
      <c r="F38" s="95"/>
      <c r="G38" s="64">
        <f>SUM(G36:G37)</f>
        <v>1.0002961101351073</v>
      </c>
      <c r="H38" s="64">
        <f>SUM(H36:H37)</f>
        <v>1</v>
      </c>
      <c r="I38" s="112">
        <f>SUM(I36:I37)</f>
        <v>1</v>
      </c>
      <c r="J38" s="101">
        <f>SUM(J36:J37)</f>
        <v>1</v>
      </c>
      <c r="L38" s="93"/>
    </row>
    <row r="39" spans="2:16" x14ac:dyDescent="0.2">
      <c r="B39" s="58"/>
      <c r="C39" s="133"/>
      <c r="D39" s="105" t="s">
        <v>173</v>
      </c>
      <c r="E39" s="106">
        <v>0.56299999999999994</v>
      </c>
      <c r="F39" s="95"/>
      <c r="G39" s="96"/>
      <c r="H39" s="96">
        <f>SUMPRODUCT($E36:$E37, H36:H37)</f>
        <v>0.56129354556837563</v>
      </c>
      <c r="I39" s="96">
        <f>SUMPRODUCT($E36:$E37, I36:I37)</f>
        <v>0.56100000000000005</v>
      </c>
      <c r="J39" s="96">
        <f>SUMPRODUCT($E36:$E37, J36:J37)</f>
        <v>0.74299999999999999</v>
      </c>
      <c r="L39" s="55"/>
    </row>
    <row r="40" spans="2:16" x14ac:dyDescent="0.2">
      <c r="B40" s="58"/>
      <c r="C40" s="133"/>
      <c r="E40" s="94"/>
      <c r="F40" s="95"/>
      <c r="G40" s="64"/>
      <c r="H40" s="64"/>
      <c r="I40" s="96"/>
      <c r="J40" s="64"/>
      <c r="L40" s="55"/>
    </row>
    <row r="41" spans="2:16" x14ac:dyDescent="0.2">
      <c r="B41" s="58"/>
      <c r="C41" s="133" t="s">
        <v>149</v>
      </c>
      <c r="D41" s="93" t="s">
        <v>207</v>
      </c>
      <c r="E41" s="99" t="s">
        <v>151</v>
      </c>
      <c r="F41" s="95" t="s">
        <v>152</v>
      </c>
      <c r="G41" s="64" t="s">
        <v>153</v>
      </c>
      <c r="H41" s="64" t="s">
        <v>154</v>
      </c>
      <c r="I41" s="96" t="s">
        <v>155</v>
      </c>
      <c r="J41" s="64" t="s">
        <v>31</v>
      </c>
      <c r="L41" s="93" t="s">
        <v>207</v>
      </c>
    </row>
    <row r="42" spans="2:16" x14ac:dyDescent="0.2">
      <c r="B42" s="134" t="s">
        <v>208</v>
      </c>
      <c r="C42" s="133" t="s">
        <v>209</v>
      </c>
      <c r="D42" s="98"/>
      <c r="E42" s="100">
        <v>1</v>
      </c>
      <c r="F42" s="95">
        <v>0</v>
      </c>
      <c r="G42" s="64">
        <f>EXP(-F42/$M$9)</f>
        <v>1</v>
      </c>
      <c r="H42" s="64">
        <f>G42/G$45</f>
        <v>0.9986620476074517</v>
      </c>
      <c r="I42" s="101">
        <v>1</v>
      </c>
      <c r="J42" s="101">
        <v>1</v>
      </c>
      <c r="L42" s="93" t="s">
        <v>208</v>
      </c>
    </row>
    <row r="43" spans="2:16" x14ac:dyDescent="0.2">
      <c r="B43" s="134" t="s">
        <v>210</v>
      </c>
      <c r="C43" s="133" t="s">
        <v>211</v>
      </c>
      <c r="D43" s="98"/>
      <c r="E43" s="100">
        <v>0</v>
      </c>
      <c r="F43" s="95">
        <v>3.9670000000000001</v>
      </c>
      <c r="G43" s="64">
        <f>EXP(-F43/$M$9)</f>
        <v>1.2366382746617074E-3</v>
      </c>
      <c r="H43" s="64">
        <f t="shared" ref="H43:H44" si="4">G43/G$45</f>
        <v>1.2349837115234071E-3</v>
      </c>
      <c r="I43" s="101">
        <v>0</v>
      </c>
      <c r="J43" s="101">
        <v>0</v>
      </c>
      <c r="L43" s="93" t="s">
        <v>212</v>
      </c>
    </row>
    <row r="44" spans="2:16" x14ac:dyDescent="0.2">
      <c r="B44" s="135" t="s">
        <v>213</v>
      </c>
      <c r="C44" s="136" t="s">
        <v>214</v>
      </c>
      <c r="D44" s="98"/>
      <c r="E44" s="100">
        <v>2</v>
      </c>
      <c r="F44" s="95">
        <v>5.4390000000000001</v>
      </c>
      <c r="G44" s="103">
        <f>EXP(-F44/$M$9)</f>
        <v>1.0310663279082347E-4</v>
      </c>
      <c r="H44" s="64">
        <f t="shared" si="4"/>
        <v>1.029686810247934E-4</v>
      </c>
      <c r="I44" s="104">
        <v>0</v>
      </c>
      <c r="J44" s="104">
        <v>0</v>
      </c>
      <c r="L44" s="102" t="s">
        <v>215</v>
      </c>
    </row>
    <row r="45" spans="2:16" x14ac:dyDescent="0.2">
      <c r="B45" s="134"/>
      <c r="C45" s="133"/>
      <c r="D45" s="98" t="s">
        <v>172</v>
      </c>
      <c r="E45" s="100"/>
      <c r="F45" s="95"/>
      <c r="G45" s="64">
        <f>SUM(G42:G44)</f>
        <v>1.0013397449074526</v>
      </c>
      <c r="H45" s="64">
        <f>SUM(H42:H44)</f>
        <v>0.99999999999999989</v>
      </c>
      <c r="I45" s="101">
        <f>SUM(I42:I44)</f>
        <v>1</v>
      </c>
      <c r="J45" s="101">
        <f>SUM(J42:J44)</f>
        <v>1</v>
      </c>
      <c r="L45" s="93"/>
    </row>
    <row r="46" spans="2:16" x14ac:dyDescent="0.2">
      <c r="D46" s="105" t="s">
        <v>173</v>
      </c>
      <c r="E46" s="106">
        <v>1.0009999999999999</v>
      </c>
      <c r="F46" s="107"/>
      <c r="G46" s="96"/>
      <c r="H46" s="96">
        <f>SUMPRODUCT($E42:$E44, H42:H44)</f>
        <v>0.99886798496950124</v>
      </c>
      <c r="I46" s="96">
        <f>SUMPRODUCT($E42:$E44, I42:I44)</f>
        <v>1</v>
      </c>
      <c r="J46" s="96">
        <f>SUMPRODUCT($E42:$E44, J42:J44)</f>
        <v>1</v>
      </c>
      <c r="L46" s="55"/>
    </row>
    <row r="47" spans="2:16" x14ac:dyDescent="0.2">
      <c r="B47" s="134"/>
      <c r="D47" s="93"/>
      <c r="E47" s="94"/>
      <c r="F47" s="95"/>
      <c r="G47" s="64"/>
      <c r="H47" s="64"/>
      <c r="I47" s="96"/>
      <c r="J47" s="64"/>
      <c r="K47" s="96"/>
      <c r="L47" s="55"/>
    </row>
    <row r="48" spans="2:16" x14ac:dyDescent="0.2">
      <c r="B48" s="58"/>
      <c r="C48" s="133" t="s">
        <v>149</v>
      </c>
      <c r="D48" s="93" t="s">
        <v>216</v>
      </c>
      <c r="E48" s="99" t="s">
        <v>151</v>
      </c>
      <c r="F48" s="95" t="s">
        <v>152</v>
      </c>
      <c r="G48" s="64" t="s">
        <v>153</v>
      </c>
      <c r="H48" s="64" t="s">
        <v>154</v>
      </c>
      <c r="I48" s="96" t="s">
        <v>155</v>
      </c>
      <c r="J48" s="64" t="s">
        <v>32</v>
      </c>
      <c r="K48" s="96" t="s">
        <v>33</v>
      </c>
      <c r="L48" s="214" t="s">
        <v>393</v>
      </c>
      <c r="M48" s="211" t="s">
        <v>392</v>
      </c>
      <c r="N48" s="214" t="s">
        <v>394</v>
      </c>
      <c r="O48" s="211" t="s">
        <v>395</v>
      </c>
      <c r="P48" s="93" t="s">
        <v>216</v>
      </c>
    </row>
    <row r="49" spans="2:16" x14ac:dyDescent="0.2">
      <c r="B49" s="134" t="s">
        <v>217</v>
      </c>
      <c r="C49" s="133" t="s">
        <v>218</v>
      </c>
      <c r="D49" s="98"/>
      <c r="E49" s="100">
        <v>2</v>
      </c>
      <c r="F49" s="95">
        <v>0.28299999999999997</v>
      </c>
      <c r="G49" s="64">
        <f>EXP(-F49/$M$9)</f>
        <v>0.62024722476490501</v>
      </c>
      <c r="H49" s="64">
        <f>G49/G$53</f>
        <v>0.62041131668252469</v>
      </c>
      <c r="I49" s="101">
        <v>0.62</v>
      </c>
      <c r="J49" s="101">
        <v>0</v>
      </c>
      <c r="K49" s="112">
        <v>0</v>
      </c>
      <c r="L49" s="217">
        <v>0</v>
      </c>
      <c r="M49" s="217">
        <v>0</v>
      </c>
      <c r="N49" s="217">
        <v>0</v>
      </c>
      <c r="O49" s="217">
        <v>0</v>
      </c>
      <c r="P49" s="93" t="s">
        <v>219</v>
      </c>
    </row>
    <row r="50" spans="2:16" x14ac:dyDescent="0.2">
      <c r="B50" s="134" t="s">
        <v>220</v>
      </c>
      <c r="C50" s="133" t="s">
        <v>221</v>
      </c>
      <c r="D50" s="98"/>
      <c r="E50" s="100">
        <v>1</v>
      </c>
      <c r="F50" s="95">
        <v>0.58499999999999996</v>
      </c>
      <c r="G50" s="64">
        <f>EXP(-F50/$M$9)</f>
        <v>0.37256574050686803</v>
      </c>
      <c r="H50" s="64">
        <f t="shared" ref="H50:H52" si="5">G50/G$53</f>
        <v>0.37266430608581491</v>
      </c>
      <c r="I50" s="101">
        <v>0.373</v>
      </c>
      <c r="J50" s="101">
        <v>1</v>
      </c>
      <c r="K50" s="112">
        <v>1</v>
      </c>
      <c r="L50" s="217">
        <v>1</v>
      </c>
      <c r="M50" s="217">
        <v>1</v>
      </c>
      <c r="N50" s="217">
        <v>1</v>
      </c>
      <c r="O50" s="217">
        <v>1</v>
      </c>
      <c r="P50" s="93" t="s">
        <v>222</v>
      </c>
    </row>
    <row r="51" spans="2:16" x14ac:dyDescent="0.2">
      <c r="B51" s="134" t="s">
        <v>223</v>
      </c>
      <c r="C51" s="133" t="s">
        <v>224</v>
      </c>
      <c r="D51" s="98"/>
      <c r="E51" s="100">
        <v>0</v>
      </c>
      <c r="F51" s="95">
        <v>3.1920000000000002</v>
      </c>
      <c r="G51" s="64">
        <f>EXP(-F51/$M$9)</f>
        <v>4.5741162324412108E-3</v>
      </c>
      <c r="H51" s="64">
        <f t="shared" si="5"/>
        <v>4.575326355556685E-3</v>
      </c>
      <c r="I51" s="101">
        <v>5.0000000000000001E-3</v>
      </c>
      <c r="J51" s="101">
        <v>0</v>
      </c>
      <c r="K51" s="112">
        <v>0</v>
      </c>
      <c r="L51" s="217">
        <v>0</v>
      </c>
      <c r="M51" s="217">
        <v>0</v>
      </c>
      <c r="N51" s="217">
        <v>0</v>
      </c>
      <c r="O51" s="217">
        <v>0</v>
      </c>
      <c r="P51" s="93" t="s">
        <v>225</v>
      </c>
    </row>
    <row r="52" spans="2:16" x14ac:dyDescent="0.2">
      <c r="B52" s="135" t="s">
        <v>226</v>
      </c>
      <c r="C52" s="136" t="s">
        <v>227</v>
      </c>
      <c r="D52" s="98"/>
      <c r="E52" s="100">
        <v>1</v>
      </c>
      <c r="F52" s="95">
        <v>3.5870000000000002</v>
      </c>
      <c r="G52" s="103">
        <f>EXP(-F52/$M$9)</f>
        <v>2.3484295781801821E-3</v>
      </c>
      <c r="H52" s="64">
        <f t="shared" si="5"/>
        <v>2.3490508761038033E-3</v>
      </c>
      <c r="I52" s="104">
        <v>2E-3</v>
      </c>
      <c r="J52" s="104">
        <v>0</v>
      </c>
      <c r="K52" s="113">
        <v>0</v>
      </c>
      <c r="L52" s="216">
        <v>0</v>
      </c>
      <c r="M52" s="216">
        <v>0</v>
      </c>
      <c r="N52" s="216">
        <v>0</v>
      </c>
      <c r="O52" s="216">
        <v>0</v>
      </c>
      <c r="P52" s="102" t="s">
        <v>217</v>
      </c>
    </row>
    <row r="53" spans="2:16" x14ac:dyDescent="0.2">
      <c r="B53" s="134"/>
      <c r="C53" s="133"/>
      <c r="D53" s="98" t="s">
        <v>172</v>
      </c>
      <c r="E53" s="100"/>
      <c r="F53" s="95"/>
      <c r="G53" s="64">
        <f>SUM(G49:G52)</f>
        <v>0.99973551108239433</v>
      </c>
      <c r="H53" s="64">
        <f>SUM(H49:H52)</f>
        <v>1</v>
      </c>
      <c r="I53" s="101">
        <f>SUM(I49:I52)</f>
        <v>1</v>
      </c>
      <c r="J53" s="101">
        <f>SUM(J49:J52)</f>
        <v>1</v>
      </c>
      <c r="K53" s="112">
        <f>SUM(K49:K52)</f>
        <v>1</v>
      </c>
      <c r="L53" s="217">
        <f t="shared" ref="L53:O53" si="6">SUM(L49:L52)</f>
        <v>1</v>
      </c>
      <c r="M53" s="217">
        <f t="shared" si="6"/>
        <v>1</v>
      </c>
      <c r="N53" s="217">
        <f t="shared" si="6"/>
        <v>1</v>
      </c>
      <c r="O53" s="217">
        <f t="shared" si="6"/>
        <v>1</v>
      </c>
    </row>
    <row r="54" spans="2:16" x14ac:dyDescent="0.2">
      <c r="B54" s="134"/>
      <c r="D54" s="105" t="s">
        <v>173</v>
      </c>
      <c r="E54" s="106">
        <v>1.613</v>
      </c>
      <c r="F54" s="107"/>
      <c r="G54" s="96"/>
      <c r="H54" s="96">
        <f>SUMPRODUCT($E49:$E52, H49:H52)</f>
        <v>1.6158359903269679</v>
      </c>
      <c r="I54" s="96">
        <f>SUMPRODUCT($E49:$E52, I49:I52)</f>
        <v>1.615</v>
      </c>
      <c r="J54" s="96">
        <f t="shared" ref="J54:K54" si="7">SUMPRODUCT($E49:$E52, J49:J52)</f>
        <v>1</v>
      </c>
      <c r="K54" s="96">
        <f t="shared" si="7"/>
        <v>1</v>
      </c>
      <c r="L54" s="211">
        <f t="shared" ref="L54:O54" si="8">SUMPRODUCT($E49:$E52, L49:L52)</f>
        <v>1</v>
      </c>
      <c r="M54" s="211">
        <f t="shared" si="8"/>
        <v>1</v>
      </c>
      <c r="N54" s="211">
        <f t="shared" si="8"/>
        <v>1</v>
      </c>
      <c r="O54" s="211">
        <f t="shared" si="8"/>
        <v>1</v>
      </c>
    </row>
    <row r="55" spans="2:16" x14ac:dyDescent="0.2">
      <c r="B55" s="58"/>
      <c r="C55" s="137"/>
      <c r="D55" s="105"/>
      <c r="E55" s="108"/>
      <c r="F55" s="95"/>
      <c r="G55" s="64"/>
      <c r="H55" s="64"/>
      <c r="I55" s="96"/>
      <c r="J55" s="64"/>
      <c r="K55" s="96"/>
      <c r="L55" s="55"/>
    </row>
    <row r="57" spans="2:16" x14ac:dyDescent="0.2">
      <c r="B57" s="139"/>
      <c r="C57" s="138"/>
      <c r="D57" s="192" t="s">
        <v>228</v>
      </c>
      <c r="E57" s="124"/>
      <c r="F57" s="125"/>
      <c r="G57" s="126"/>
      <c r="H57" s="126"/>
      <c r="I57" s="127"/>
      <c r="J57" s="127"/>
      <c r="K57" s="120"/>
      <c r="L57" s="120"/>
    </row>
    <row r="58" spans="2:16" x14ac:dyDescent="0.2">
      <c r="B58" s="58"/>
      <c r="C58" s="133" t="s">
        <v>149</v>
      </c>
      <c r="D58" s="93" t="s">
        <v>229</v>
      </c>
      <c r="E58" s="99" t="s">
        <v>151</v>
      </c>
      <c r="F58" s="95" t="s">
        <v>152</v>
      </c>
      <c r="G58" s="64" t="s">
        <v>153</v>
      </c>
      <c r="H58" s="64" t="s">
        <v>154</v>
      </c>
      <c r="I58" s="96" t="s">
        <v>155</v>
      </c>
      <c r="J58" s="96" t="s">
        <v>35</v>
      </c>
      <c r="K58" s="211" t="s">
        <v>388</v>
      </c>
      <c r="L58" s="93" t="s">
        <v>229</v>
      </c>
    </row>
    <row r="59" spans="2:16" x14ac:dyDescent="0.2">
      <c r="B59" s="134" t="s">
        <v>230</v>
      </c>
      <c r="C59" s="133" t="s">
        <v>231</v>
      </c>
      <c r="D59" s="98"/>
      <c r="E59" s="100">
        <v>1</v>
      </c>
      <c r="F59" s="95">
        <v>0.25600000000000001</v>
      </c>
      <c r="G59" s="114">
        <f>EXP(-F59/$M$9)</f>
        <v>0.6491655496834301</v>
      </c>
      <c r="H59" s="64">
        <f>G59/G$61</f>
        <v>0.9753001805470789</v>
      </c>
      <c r="I59" s="114">
        <v>0.97499999999999998</v>
      </c>
      <c r="J59" s="101">
        <v>0.99399999999999999</v>
      </c>
      <c r="K59" s="212">
        <v>1</v>
      </c>
      <c r="L59" s="93" t="s">
        <v>230</v>
      </c>
    </row>
    <row r="60" spans="2:16" x14ac:dyDescent="0.2">
      <c r="B60" s="135" t="s">
        <v>232</v>
      </c>
      <c r="C60" s="136" t="s">
        <v>233</v>
      </c>
      <c r="D60" s="98"/>
      <c r="E60" s="100">
        <v>0</v>
      </c>
      <c r="F60" s="95">
        <v>2.4340000000000002</v>
      </c>
      <c r="G60" s="115">
        <f>EXP(-F60/$M$9)</f>
        <v>1.6440345436256113E-2</v>
      </c>
      <c r="H60" s="64">
        <f>G60/G$61</f>
        <v>2.4699819452920987E-2</v>
      </c>
      <c r="I60" s="115">
        <v>2.5000000000000001E-2</v>
      </c>
      <c r="J60" s="104">
        <v>6.0000000000000001E-3</v>
      </c>
      <c r="K60" s="213">
        <v>0</v>
      </c>
      <c r="L60" s="102" t="s">
        <v>234</v>
      </c>
    </row>
    <row r="61" spans="2:16" x14ac:dyDescent="0.2">
      <c r="B61" s="134"/>
      <c r="C61" s="133"/>
      <c r="D61" s="98" t="s">
        <v>172</v>
      </c>
      <c r="E61" s="100"/>
      <c r="F61" s="95"/>
      <c r="G61" s="181">
        <f>SUM(G59:G60)</f>
        <v>0.66560589511968626</v>
      </c>
      <c r="H61" s="181">
        <f>SUM(H59:H60)</f>
        <v>0.99999999999999989</v>
      </c>
      <c r="I61" s="181">
        <f>SUM(I59:I60)</f>
        <v>1</v>
      </c>
      <c r="J61" s="101">
        <f>SUM(J59:J60)</f>
        <v>1</v>
      </c>
      <c r="K61" s="212">
        <f>SUM(K59:K60)</f>
        <v>1</v>
      </c>
      <c r="L61" s="93"/>
    </row>
    <row r="62" spans="2:16" x14ac:dyDescent="0.2">
      <c r="B62" s="58"/>
      <c r="D62" s="105" t="s">
        <v>173</v>
      </c>
      <c r="E62" s="106">
        <v>0.97299999999999998</v>
      </c>
      <c r="F62" s="95"/>
      <c r="G62" s="96"/>
      <c r="H62" s="96">
        <f>SUMPRODUCT($E59:$E60, H59:H60)</f>
        <v>0.9753001805470789</v>
      </c>
      <c r="I62" s="96">
        <f>SUMPRODUCT($E59:$E60, I59:I60)</f>
        <v>0.97499999999999998</v>
      </c>
      <c r="J62" s="96">
        <f>SUMPRODUCT($E59:$E60, J59:J60)</f>
        <v>0.99399999999999999</v>
      </c>
      <c r="K62" s="211">
        <f>SUMPRODUCT($E59:$E60, K59:K60)</f>
        <v>1</v>
      </c>
      <c r="L62" s="55"/>
    </row>
    <row r="63" spans="2:16" x14ac:dyDescent="0.2">
      <c r="B63" s="58"/>
      <c r="C63" s="137"/>
      <c r="D63" s="105"/>
      <c r="E63" s="94"/>
      <c r="F63" s="107"/>
      <c r="G63" s="64"/>
      <c r="H63" s="64"/>
      <c r="I63" s="96"/>
      <c r="J63" s="64"/>
      <c r="L63" s="55"/>
    </row>
    <row r="65" spans="2:12" x14ac:dyDescent="0.2">
      <c r="B65" s="139"/>
      <c r="C65" s="139"/>
      <c r="D65" s="128" t="s">
        <v>235</v>
      </c>
      <c r="E65" s="129"/>
      <c r="F65" s="125"/>
      <c r="G65" s="126"/>
      <c r="H65" s="126"/>
      <c r="I65" s="127"/>
      <c r="J65" s="126"/>
      <c r="K65" s="127"/>
      <c r="L65" s="122"/>
    </row>
    <row r="66" spans="2:12" x14ac:dyDescent="0.2">
      <c r="B66" s="58"/>
      <c r="C66" s="133" t="s">
        <v>149</v>
      </c>
      <c r="D66" s="93" t="s">
        <v>236</v>
      </c>
      <c r="E66" s="99" t="s">
        <v>151</v>
      </c>
      <c r="F66" s="95" t="s">
        <v>152</v>
      </c>
      <c r="G66" s="64" t="s">
        <v>153</v>
      </c>
      <c r="H66" s="64" t="s">
        <v>154</v>
      </c>
      <c r="I66" s="96" t="s">
        <v>155</v>
      </c>
      <c r="J66" s="64" t="s">
        <v>237</v>
      </c>
      <c r="K66" s="96" t="s">
        <v>237</v>
      </c>
      <c r="L66" s="93" t="s">
        <v>236</v>
      </c>
    </row>
    <row r="67" spans="2:12" x14ac:dyDescent="0.2">
      <c r="B67" s="134" t="s">
        <v>238</v>
      </c>
      <c r="C67" s="133" t="s">
        <v>239</v>
      </c>
      <c r="D67" s="98"/>
      <c r="E67" s="100">
        <v>1</v>
      </c>
      <c r="F67" s="95">
        <v>0.316</v>
      </c>
      <c r="G67" s="64">
        <f>EXP(-F67/$M$9)</f>
        <v>0.58664621951003182</v>
      </c>
      <c r="H67" s="64">
        <f>G67/G$70</f>
        <v>0.58703010198424066</v>
      </c>
      <c r="I67" s="109">
        <v>0.58699999999999997</v>
      </c>
      <c r="J67" s="101">
        <f>0*2</f>
        <v>0</v>
      </c>
      <c r="K67" s="101">
        <v>0.193</v>
      </c>
      <c r="L67" s="93" t="s">
        <v>238</v>
      </c>
    </row>
    <row r="68" spans="2:12" x14ac:dyDescent="0.2">
      <c r="B68" s="134" t="s">
        <v>240</v>
      </c>
      <c r="C68" s="133" t="s">
        <v>241</v>
      </c>
      <c r="D68" s="98"/>
      <c r="E68" s="100">
        <v>1</v>
      </c>
      <c r="F68" s="95">
        <v>0.57299999999999995</v>
      </c>
      <c r="G68" s="64">
        <f>EXP(-F68/$M$9)</f>
        <v>0.38018830573460877</v>
      </c>
      <c r="H68" s="64">
        <f t="shared" ref="H68:H69" si="9">G68/G$70</f>
        <v>0.38043708877047755</v>
      </c>
      <c r="I68" s="109">
        <v>0.38100000000000001</v>
      </c>
      <c r="J68" s="101">
        <f>0.426+0.574</f>
        <v>1</v>
      </c>
      <c r="K68" s="101">
        <v>0.68899999999999995</v>
      </c>
      <c r="L68" s="93" t="s">
        <v>240</v>
      </c>
    </row>
    <row r="69" spans="2:12" x14ac:dyDescent="0.2">
      <c r="B69" s="135" t="s">
        <v>242</v>
      </c>
      <c r="C69" s="136" t="s">
        <v>243</v>
      </c>
      <c r="D69" s="98"/>
      <c r="E69" s="100">
        <v>0</v>
      </c>
      <c r="F69" s="95">
        <v>2.0299999999999998</v>
      </c>
      <c r="G69" s="103">
        <f>EXP(-F69/$M$9)</f>
        <v>3.2511534739487542E-2</v>
      </c>
      <c r="H69" s="64">
        <f t="shared" si="9"/>
        <v>3.2532809245281756E-2</v>
      </c>
      <c r="I69" s="116">
        <v>3.3000000000000002E-2</v>
      </c>
      <c r="J69" s="104">
        <f>0*2</f>
        <v>0</v>
      </c>
      <c r="K69" s="104">
        <v>0.11799999999999999</v>
      </c>
      <c r="L69" s="102" t="s">
        <v>244</v>
      </c>
    </row>
    <row r="70" spans="2:12" x14ac:dyDescent="0.2">
      <c r="B70" s="134"/>
      <c r="C70" s="133"/>
      <c r="D70" s="98" t="s">
        <v>172</v>
      </c>
      <c r="E70" s="100"/>
      <c r="F70" s="95"/>
      <c r="G70" s="64">
        <f>SUM(G67:G69)</f>
        <v>0.99934605998412818</v>
      </c>
      <c r="H70" s="64">
        <f>SUM(H67:H69)</f>
        <v>1</v>
      </c>
      <c r="I70" s="109">
        <f>SUM(I67:I69)</f>
        <v>1.0009999999999999</v>
      </c>
      <c r="J70" s="101">
        <f>SUM(J67:J69)</f>
        <v>1</v>
      </c>
      <c r="K70" s="101">
        <f>SUM(K67:K69)</f>
        <v>0.99999999999999989</v>
      </c>
      <c r="L70" s="93"/>
    </row>
    <row r="71" spans="2:12" x14ac:dyDescent="0.2">
      <c r="B71" s="58"/>
      <c r="D71" s="105" t="s">
        <v>173</v>
      </c>
      <c r="E71" s="106">
        <v>0.97099999999999997</v>
      </c>
      <c r="F71" s="95"/>
      <c r="G71" s="96"/>
      <c r="H71" s="96">
        <f>SUMPRODUCT($E67:$E69, H67:H69)</f>
        <v>0.96746719075471821</v>
      </c>
      <c r="I71" s="96">
        <f>SUMPRODUCT($E67:$E69, I67:I69)</f>
        <v>0.96799999999999997</v>
      </c>
      <c r="J71" s="96">
        <f t="shared" ref="J71:K71" si="10">SUMPRODUCT($E67:$E69, J67:J69)</f>
        <v>1</v>
      </c>
      <c r="K71" s="96">
        <f t="shared" si="10"/>
        <v>0.8819999999999999</v>
      </c>
      <c r="L71" s="55"/>
    </row>
    <row r="72" spans="2:12" x14ac:dyDescent="0.2">
      <c r="B72" s="134"/>
      <c r="C72" s="137"/>
      <c r="D72" s="105"/>
      <c r="E72" s="94"/>
      <c r="G72" s="64"/>
      <c r="H72" s="64"/>
      <c r="I72" s="96"/>
      <c r="J72" s="64"/>
      <c r="K72" s="96"/>
      <c r="L72" s="93"/>
    </row>
    <row r="74" spans="2:12" s="120" customFormat="1" x14ac:dyDescent="0.2">
      <c r="B74" s="139"/>
      <c r="C74" s="138"/>
      <c r="D74" s="190" t="s">
        <v>245</v>
      </c>
      <c r="E74" s="130"/>
      <c r="F74" s="131"/>
      <c r="G74" s="127"/>
      <c r="H74" s="127"/>
      <c r="I74" s="126"/>
      <c r="J74" s="126"/>
      <c r="K74" s="126"/>
      <c r="L74" s="123"/>
    </row>
    <row r="75" spans="2:12" x14ac:dyDescent="0.2">
      <c r="B75" s="58"/>
      <c r="C75" s="133" t="s">
        <v>149</v>
      </c>
      <c r="D75" s="93" t="s">
        <v>246</v>
      </c>
      <c r="E75" s="99" t="s">
        <v>151</v>
      </c>
      <c r="F75" s="95" t="s">
        <v>152</v>
      </c>
      <c r="G75" s="64" t="s">
        <v>153</v>
      </c>
      <c r="H75" s="64" t="s">
        <v>154</v>
      </c>
      <c r="I75" s="64" t="s">
        <v>155</v>
      </c>
      <c r="J75" s="64" t="s">
        <v>40</v>
      </c>
      <c r="K75" s="64" t="s">
        <v>41</v>
      </c>
      <c r="L75" s="93" t="s">
        <v>246</v>
      </c>
    </row>
    <row r="76" spans="2:12" x14ac:dyDescent="0.2">
      <c r="B76" s="134" t="s">
        <v>247</v>
      </c>
      <c r="C76" s="133" t="s">
        <v>248</v>
      </c>
      <c r="D76" s="98"/>
      <c r="E76" s="100">
        <v>1</v>
      </c>
      <c r="F76" s="95">
        <v>5.0000000000000001E-3</v>
      </c>
      <c r="G76" s="64">
        <f>EXP(-F76/$M$9)</f>
        <v>0.99159668831508296</v>
      </c>
      <c r="H76" s="64">
        <f>G76/G$79</f>
        <v>0.99109488237560972</v>
      </c>
      <c r="I76" s="101">
        <v>0.99299999999999999</v>
      </c>
      <c r="J76" s="101">
        <v>0.95</v>
      </c>
      <c r="K76" s="101">
        <v>0.96199999999999997</v>
      </c>
      <c r="L76" s="93" t="s">
        <v>247</v>
      </c>
    </row>
    <row r="77" spans="2:12" x14ac:dyDescent="0.2">
      <c r="B77" s="134" t="s">
        <v>249</v>
      </c>
      <c r="C77" s="133" t="s">
        <v>250</v>
      </c>
      <c r="D77" s="98"/>
      <c r="E77" s="100">
        <v>0</v>
      </c>
      <c r="F77" s="95">
        <v>2.8610000000000002</v>
      </c>
      <c r="G77" s="64">
        <f>EXP(-F77/$M$9)</f>
        <v>7.9969746056469584E-3</v>
      </c>
      <c r="H77" s="64">
        <f t="shared" ref="H77:H78" si="11">G77/G$79</f>
        <v>7.9929276686188117E-3</v>
      </c>
      <c r="I77" s="101">
        <v>7.0000000000000001E-3</v>
      </c>
      <c r="J77" s="101">
        <v>0.05</v>
      </c>
      <c r="K77" s="101">
        <v>3.7999999999999999E-2</v>
      </c>
      <c r="L77" s="93" t="s">
        <v>251</v>
      </c>
    </row>
    <row r="78" spans="2:12" x14ac:dyDescent="0.2">
      <c r="B78" s="135" t="s">
        <v>252</v>
      </c>
      <c r="C78" s="136" t="s">
        <v>253</v>
      </c>
      <c r="D78" s="98"/>
      <c r="E78" s="100">
        <v>2</v>
      </c>
      <c r="F78" s="95">
        <v>4.1470000000000002</v>
      </c>
      <c r="G78" s="103">
        <f>EXP(-F78/$M$9)</f>
        <v>9.1265181098416296E-4</v>
      </c>
      <c r="H78" s="64">
        <f t="shared" si="11"/>
        <v>9.1218995577143421E-4</v>
      </c>
      <c r="I78" s="104">
        <v>0</v>
      </c>
      <c r="J78" s="104">
        <v>0</v>
      </c>
      <c r="K78" s="104">
        <v>0</v>
      </c>
      <c r="L78" s="102" t="s">
        <v>254</v>
      </c>
    </row>
    <row r="79" spans="2:12" x14ac:dyDescent="0.2">
      <c r="B79" s="134"/>
      <c r="C79" s="133"/>
      <c r="D79" s="98" t="s">
        <v>172</v>
      </c>
      <c r="E79" s="100"/>
      <c r="F79" s="95"/>
      <c r="G79" s="64">
        <f>SUM(G76:G78)</f>
        <v>1.0005063147317141</v>
      </c>
      <c r="H79" s="64">
        <f>SUM(H76:H78)</f>
        <v>1</v>
      </c>
      <c r="I79" s="101">
        <f>SUM(I76:I78)</f>
        <v>1</v>
      </c>
      <c r="J79" s="101">
        <f>SUM(J76:J78)</f>
        <v>1</v>
      </c>
      <c r="K79" s="101">
        <f>SUM(K76:K78)</f>
        <v>1</v>
      </c>
      <c r="L79" s="93"/>
    </row>
    <row r="80" spans="2:12" x14ac:dyDescent="0.2">
      <c r="B80" s="58"/>
      <c r="D80" s="105" t="s">
        <v>173</v>
      </c>
      <c r="E80" s="106">
        <v>0.99099999999999999</v>
      </c>
      <c r="F80" s="107"/>
      <c r="G80" s="64"/>
      <c r="H80" s="64">
        <f>SUMPRODUCT($E76:$E78, H76:H78)</f>
        <v>0.99291926228715255</v>
      </c>
      <c r="I80" s="64">
        <f>SUMPRODUCT($E76:$E78, I76:I78)</f>
        <v>0.99299999999999999</v>
      </c>
      <c r="J80" s="64">
        <f>SUMPRODUCT($E76:$E78, J76:J78)</f>
        <v>0.95</v>
      </c>
      <c r="K80" s="64">
        <f t="shared" ref="K80" si="12">SUMPRODUCT($E76:$E78, K76:K78)</f>
        <v>0.96199999999999997</v>
      </c>
      <c r="L80" s="55"/>
    </row>
    <row r="81" spans="2:17" x14ac:dyDescent="0.2">
      <c r="B81" s="58"/>
      <c r="D81" s="93"/>
      <c r="E81" s="94"/>
      <c r="F81" s="107"/>
      <c r="G81" s="64"/>
      <c r="H81" s="64"/>
      <c r="I81" s="96"/>
      <c r="J81" s="64"/>
      <c r="K81" s="64"/>
      <c r="L81" s="55"/>
    </row>
    <row r="82" spans="2:17" x14ac:dyDescent="0.2">
      <c r="B82" s="58"/>
      <c r="C82" s="133" t="s">
        <v>149</v>
      </c>
      <c r="D82" s="93" t="s">
        <v>255</v>
      </c>
      <c r="E82" s="99" t="s">
        <v>151</v>
      </c>
      <c r="F82" s="95" t="s">
        <v>152</v>
      </c>
      <c r="G82" s="64" t="s">
        <v>153</v>
      </c>
      <c r="H82" s="64" t="s">
        <v>154</v>
      </c>
      <c r="I82" s="96" t="s">
        <v>155</v>
      </c>
      <c r="J82" s="64" t="s">
        <v>42</v>
      </c>
      <c r="K82" s="96" t="s">
        <v>43</v>
      </c>
      <c r="L82" s="211" t="s">
        <v>389</v>
      </c>
      <c r="M82" s="214" t="s">
        <v>387</v>
      </c>
      <c r="N82" s="214" t="s">
        <v>390</v>
      </c>
      <c r="O82" s="214" t="s">
        <v>391</v>
      </c>
      <c r="P82" s="93" t="s">
        <v>255</v>
      </c>
    </row>
    <row r="83" spans="2:17" x14ac:dyDescent="0.2">
      <c r="B83" s="134" t="s">
        <v>256</v>
      </c>
      <c r="C83" s="133" t="s">
        <v>257</v>
      </c>
      <c r="D83" s="98"/>
      <c r="E83" s="100">
        <v>0</v>
      </c>
      <c r="F83" s="95">
        <v>0.21199999999999999</v>
      </c>
      <c r="G83" s="64">
        <f>EXP(-F83/$M$9)</f>
        <v>0.69920877324453756</v>
      </c>
      <c r="H83" s="64">
        <f>G83/G$88</f>
        <v>0.69892679787111889</v>
      </c>
      <c r="I83" s="101">
        <v>0.7</v>
      </c>
      <c r="J83" s="101">
        <v>0.3</v>
      </c>
      <c r="K83" s="101">
        <v>0.63400000000000001</v>
      </c>
      <c r="L83" s="212">
        <v>0.32</v>
      </c>
      <c r="M83" s="212">
        <v>0.98599999999999999</v>
      </c>
      <c r="N83" s="212">
        <v>0.59</v>
      </c>
      <c r="O83" s="212">
        <v>0.50600000000000001</v>
      </c>
      <c r="P83" s="93" t="s">
        <v>258</v>
      </c>
    </row>
    <row r="84" spans="2:17" x14ac:dyDescent="0.2">
      <c r="B84" s="134" t="s">
        <v>259</v>
      </c>
      <c r="C84" s="133" t="s">
        <v>260</v>
      </c>
      <c r="D84" s="98"/>
      <c r="E84" s="100">
        <v>1</v>
      </c>
      <c r="F84" s="95">
        <v>0.71699999999999997</v>
      </c>
      <c r="G84" s="64">
        <f>EXP(-F84/$M$9)</f>
        <v>0.29815953532773798</v>
      </c>
      <c r="H84" s="64">
        <f t="shared" ref="H84:H87" si="13">G84/G$88</f>
        <v>0.29803929420730374</v>
      </c>
      <c r="I84" s="101">
        <v>0.29799999999999999</v>
      </c>
      <c r="J84" s="101">
        <v>0.7</v>
      </c>
      <c r="K84" s="101">
        <v>0.36599999999999999</v>
      </c>
      <c r="L84" s="212">
        <v>0.68</v>
      </c>
      <c r="M84" s="212">
        <v>1.4E-2</v>
      </c>
      <c r="N84" s="212">
        <v>0.41</v>
      </c>
      <c r="O84" s="212">
        <v>0.49399999999999999</v>
      </c>
      <c r="P84" s="93" t="s">
        <v>261</v>
      </c>
    </row>
    <row r="85" spans="2:17" x14ac:dyDescent="0.2">
      <c r="B85" s="134" t="s">
        <v>262</v>
      </c>
      <c r="C85" s="133" t="s">
        <v>263</v>
      </c>
      <c r="D85" s="98"/>
      <c r="E85" s="100">
        <v>1</v>
      </c>
      <c r="F85" s="145">
        <v>3.7280000000000002</v>
      </c>
      <c r="G85" s="141">
        <f>EXP(-F85/$M$9)</f>
        <v>1.8510853756935342E-3</v>
      </c>
      <c r="H85" s="64">
        <f t="shared" si="13"/>
        <v>1.8503388740619556E-3</v>
      </c>
      <c r="I85" s="143">
        <v>2E-3</v>
      </c>
      <c r="J85" s="141">
        <v>0</v>
      </c>
      <c r="K85" s="141">
        <v>0</v>
      </c>
      <c r="L85" s="215">
        <v>0</v>
      </c>
      <c r="M85" s="215">
        <v>0</v>
      </c>
      <c r="N85" s="215">
        <v>0</v>
      </c>
      <c r="O85" s="215">
        <v>0</v>
      </c>
      <c r="P85" s="146" t="s">
        <v>264</v>
      </c>
      <c r="Q85" t="s">
        <v>265</v>
      </c>
    </row>
    <row r="86" spans="2:17" x14ac:dyDescent="0.2">
      <c r="B86" s="134" t="s">
        <v>266</v>
      </c>
      <c r="C86" s="133" t="s">
        <v>263</v>
      </c>
      <c r="D86" s="98"/>
      <c r="E86" s="100">
        <v>1</v>
      </c>
      <c r="F86" s="145">
        <v>4.3949999999999996</v>
      </c>
      <c r="G86" s="141">
        <f>EXP(-F86/$M$9)</f>
        <v>6.0051585188208943E-4</v>
      </c>
      <c r="H86" s="64">
        <f t="shared" si="13"/>
        <v>6.0027367717253508E-4</v>
      </c>
      <c r="I86" s="143">
        <v>0</v>
      </c>
      <c r="J86" s="141">
        <v>0</v>
      </c>
      <c r="K86" s="141">
        <v>0</v>
      </c>
      <c r="L86" s="215">
        <v>0</v>
      </c>
      <c r="M86" s="215">
        <v>0</v>
      </c>
      <c r="N86" s="215">
        <v>0</v>
      </c>
      <c r="O86" s="215">
        <v>0</v>
      </c>
      <c r="P86" s="146" t="s">
        <v>267</v>
      </c>
      <c r="Q86" t="s">
        <v>268</v>
      </c>
    </row>
    <row r="87" spans="2:17" x14ac:dyDescent="0.2">
      <c r="B87" s="135" t="s">
        <v>264</v>
      </c>
      <c r="C87" s="136" t="s">
        <v>269</v>
      </c>
      <c r="D87" s="98"/>
      <c r="E87" s="100">
        <v>2</v>
      </c>
      <c r="F87" s="95">
        <v>4.4119999999999999</v>
      </c>
      <c r="G87" s="103">
        <f>EXP(-F87/$M$9)</f>
        <v>5.8353069531600753E-4</v>
      </c>
      <c r="H87" s="64">
        <f t="shared" si="13"/>
        <v>5.8329537034296761E-4</v>
      </c>
      <c r="I87" s="113">
        <v>0</v>
      </c>
      <c r="J87" s="104">
        <v>0</v>
      </c>
      <c r="K87" s="113">
        <v>0</v>
      </c>
      <c r="L87" s="216">
        <v>0</v>
      </c>
      <c r="M87" s="216">
        <v>0</v>
      </c>
      <c r="N87" s="216">
        <v>0</v>
      </c>
      <c r="O87" s="216">
        <v>0</v>
      </c>
      <c r="P87" s="102" t="s">
        <v>270</v>
      </c>
    </row>
    <row r="88" spans="2:17" x14ac:dyDescent="0.2">
      <c r="B88" s="134"/>
      <c r="C88" s="133"/>
      <c r="D88" s="98" t="s">
        <v>172</v>
      </c>
      <c r="E88" s="100"/>
      <c r="F88" s="95"/>
      <c r="G88" s="64">
        <f>SUM(G83:G87)</f>
        <v>1.0004034404951672</v>
      </c>
      <c r="H88" s="64">
        <f>SUM(H83:H87)</f>
        <v>1.0000000000000002</v>
      </c>
      <c r="I88" s="112">
        <f>SUM(I83:I87)</f>
        <v>1</v>
      </c>
      <c r="J88" s="101">
        <f>SUM(J83:J87)</f>
        <v>1</v>
      </c>
      <c r="K88" s="112">
        <f>SUM(K83:K87)</f>
        <v>1</v>
      </c>
      <c r="L88" s="217">
        <f t="shared" ref="L88:M88" si="14">SUM(L83:L87)</f>
        <v>1</v>
      </c>
      <c r="M88" s="217">
        <f>SUM(M83:M87)</f>
        <v>1</v>
      </c>
      <c r="N88" s="217">
        <f t="shared" ref="N88:O88" si="15">SUM(N83:N87)</f>
        <v>1</v>
      </c>
      <c r="O88" s="217">
        <f t="shared" si="15"/>
        <v>1</v>
      </c>
    </row>
    <row r="89" spans="2:17" x14ac:dyDescent="0.2">
      <c r="B89" s="134"/>
      <c r="D89" s="105" t="s">
        <v>173</v>
      </c>
      <c r="E89" s="106">
        <v>0.29899999999999999</v>
      </c>
      <c r="F89" s="95"/>
      <c r="G89" s="96"/>
      <c r="H89" s="96">
        <f>SUMPRODUCT($E83:$E87, H83:H87)</f>
        <v>0.30165649749922413</v>
      </c>
      <c r="I89" s="96">
        <f>SUMPRODUCT($E83:$E87, I83:I87)</f>
        <v>0.3</v>
      </c>
      <c r="J89" s="96">
        <f t="shared" ref="J89" si="16">SUMPRODUCT($E83:$E87, J83:J87)</f>
        <v>0.7</v>
      </c>
      <c r="K89" s="96">
        <f>SUMPRODUCT($E83:$E87, K83:K87)</f>
        <v>0.36599999999999999</v>
      </c>
      <c r="L89" s="211">
        <f>SUMPRODUCT($E83:$E87, L83:L87)</f>
        <v>0.68</v>
      </c>
      <c r="M89" s="211">
        <f>SUMPRODUCT($E83:$E87, M83:M87)</f>
        <v>1.4E-2</v>
      </c>
      <c r="N89" s="211">
        <f t="shared" ref="N89:O89" si="17">SUMPRODUCT($E83:$E87, N83:N87)</f>
        <v>0.41</v>
      </c>
      <c r="O89" s="211">
        <f t="shared" si="17"/>
        <v>0.49399999999999999</v>
      </c>
    </row>
    <row r="90" spans="2:17" x14ac:dyDescent="0.2">
      <c r="B90" s="58"/>
      <c r="D90" s="93"/>
      <c r="E90" s="94"/>
      <c r="F90" s="107"/>
      <c r="G90" s="64"/>
      <c r="H90" s="64"/>
      <c r="I90" s="96"/>
      <c r="J90" s="64"/>
      <c r="L90" s="55"/>
    </row>
    <row r="91" spans="2:17" x14ac:dyDescent="0.2">
      <c r="B91" s="58"/>
      <c r="C91" s="133" t="s">
        <v>149</v>
      </c>
      <c r="D91" s="93" t="s">
        <v>271</v>
      </c>
      <c r="E91" s="99" t="s">
        <v>151</v>
      </c>
      <c r="F91" s="95" t="s">
        <v>152</v>
      </c>
      <c r="G91" s="64" t="s">
        <v>153</v>
      </c>
      <c r="H91" s="64" t="s">
        <v>154</v>
      </c>
      <c r="I91" s="96" t="s">
        <v>155</v>
      </c>
      <c r="J91" s="64" t="s">
        <v>44</v>
      </c>
      <c r="L91" s="93" t="s">
        <v>271</v>
      </c>
    </row>
    <row r="92" spans="2:17" x14ac:dyDescent="0.2">
      <c r="B92" s="134" t="s">
        <v>272</v>
      </c>
      <c r="C92" s="133" t="s">
        <v>273</v>
      </c>
      <c r="D92" s="98"/>
      <c r="E92" s="100">
        <v>1</v>
      </c>
      <c r="F92" s="117">
        <v>3.1E-2</v>
      </c>
      <c r="G92" s="64">
        <f>EXP(-F92/$M$9)</f>
        <v>0.9490244895140989</v>
      </c>
      <c r="H92" s="64">
        <f>G92/G$95</f>
        <v>0.94904847619944588</v>
      </c>
      <c r="I92" s="101">
        <v>0.94899999999999995</v>
      </c>
      <c r="J92" s="101">
        <v>0.44700000000000001</v>
      </c>
      <c r="L92" s="93" t="s">
        <v>272</v>
      </c>
    </row>
    <row r="93" spans="2:17" x14ac:dyDescent="0.2">
      <c r="B93" s="134" t="s">
        <v>274</v>
      </c>
      <c r="C93" s="133" t="s">
        <v>275</v>
      </c>
      <c r="D93" s="98"/>
      <c r="E93" s="100">
        <v>0</v>
      </c>
      <c r="F93" s="95">
        <v>1.766</v>
      </c>
      <c r="G93" s="64">
        <f>EXP(-F93/$M$9)</f>
        <v>5.0762838519496874E-2</v>
      </c>
      <c r="H93" s="64">
        <f t="shared" ref="H93:H94" si="18">G93/G$95</f>
        <v>5.0764121555128029E-2</v>
      </c>
      <c r="I93" s="101">
        <v>5.0999999999999997E-2</v>
      </c>
      <c r="J93" s="101">
        <v>0.55300000000000005</v>
      </c>
      <c r="L93" s="93" t="s">
        <v>276</v>
      </c>
    </row>
    <row r="94" spans="2:17" x14ac:dyDescent="0.2">
      <c r="B94" s="135" t="s">
        <v>277</v>
      </c>
      <c r="C94" s="136" t="s">
        <v>278</v>
      </c>
      <c r="D94" s="98"/>
      <c r="E94" s="100">
        <v>2</v>
      </c>
      <c r="F94" s="95">
        <v>5.085</v>
      </c>
      <c r="G94" s="103">
        <f>EXP(-F94/$M$9)</f>
        <v>1.8739750893595971E-4</v>
      </c>
      <c r="H94" s="64">
        <f t="shared" si="18"/>
        <v>1.8740224542604118E-4</v>
      </c>
      <c r="I94" s="113">
        <v>0</v>
      </c>
      <c r="J94" s="104">
        <v>0</v>
      </c>
      <c r="L94" s="102" t="s">
        <v>279</v>
      </c>
    </row>
    <row r="95" spans="2:17" x14ac:dyDescent="0.2">
      <c r="B95" s="134"/>
      <c r="C95" s="133"/>
      <c r="D95" s="98" t="s">
        <v>172</v>
      </c>
      <c r="E95" s="100"/>
      <c r="F95" s="95"/>
      <c r="G95" s="64">
        <f>SUM(G92:G94)</f>
        <v>0.99997472554253175</v>
      </c>
      <c r="H95" s="64">
        <f>SUM(H92:H94)</f>
        <v>0.99999999999999989</v>
      </c>
      <c r="I95" s="112">
        <f>SUM(I92:I94)</f>
        <v>1</v>
      </c>
      <c r="J95" s="101">
        <f>SUM(J92:J94)</f>
        <v>1</v>
      </c>
      <c r="L95" s="93"/>
    </row>
    <row r="96" spans="2:17" x14ac:dyDescent="0.2">
      <c r="B96" s="58"/>
      <c r="D96" s="105" t="s">
        <v>173</v>
      </c>
      <c r="E96" s="106">
        <v>0.95299999999999996</v>
      </c>
      <c r="F96" s="95"/>
      <c r="G96" s="96"/>
      <c r="H96" s="96">
        <f>SUMPRODUCT($E92:$E94, H92:H94)</f>
        <v>0.94942328069029791</v>
      </c>
      <c r="I96" s="96">
        <f>SUMPRODUCT($E92:$E94, I92:I94)</f>
        <v>0.94899999999999995</v>
      </c>
      <c r="J96" s="96">
        <f>SUMPRODUCT($E92:$E94, J92:J94)</f>
        <v>0.44700000000000001</v>
      </c>
      <c r="L96" s="55"/>
    </row>
    <row r="97" spans="2:12" x14ac:dyDescent="0.2">
      <c r="B97" s="58"/>
      <c r="C97" s="137"/>
      <c r="D97" s="105"/>
      <c r="E97" s="94"/>
      <c r="F97" s="107"/>
      <c r="G97" s="64"/>
      <c r="H97" s="64"/>
      <c r="I97" s="96"/>
      <c r="J97" s="118"/>
      <c r="L97" s="55"/>
    </row>
    <row r="98" spans="2:12" x14ac:dyDescent="0.2">
      <c r="B98" s="58"/>
      <c r="C98" s="133" t="s">
        <v>149</v>
      </c>
      <c r="D98" s="93" t="s">
        <v>280</v>
      </c>
      <c r="E98" s="99" t="s">
        <v>151</v>
      </c>
      <c r="F98" s="95" t="s">
        <v>152</v>
      </c>
      <c r="G98" s="64" t="s">
        <v>153</v>
      </c>
      <c r="H98" s="64" t="s">
        <v>154</v>
      </c>
      <c r="I98" s="96" t="s">
        <v>155</v>
      </c>
      <c r="J98" s="64" t="s">
        <v>45</v>
      </c>
      <c r="L98" s="93" t="s">
        <v>280</v>
      </c>
    </row>
    <row r="99" spans="2:12" x14ac:dyDescent="0.2">
      <c r="B99" s="134" t="s">
        <v>281</v>
      </c>
      <c r="C99" s="133" t="s">
        <v>282</v>
      </c>
      <c r="D99" s="98"/>
      <c r="E99" s="100">
        <v>1</v>
      </c>
      <c r="F99" s="95">
        <v>1.6E-2</v>
      </c>
      <c r="G99" s="64">
        <f t="shared" ref="G99:G105" si="19">EXP(-F99/$M$9)</f>
        <v>0.97335713452354344</v>
      </c>
      <c r="H99" s="64">
        <f>G99/G$106</f>
        <v>0.97331136746133029</v>
      </c>
      <c r="I99" s="101">
        <v>0.97399999999999998</v>
      </c>
      <c r="J99" s="101">
        <v>0.98499999999999999</v>
      </c>
      <c r="L99" s="93" t="s">
        <v>283</v>
      </c>
    </row>
    <row r="100" spans="2:12" x14ac:dyDescent="0.2">
      <c r="B100" s="134" t="s">
        <v>284</v>
      </c>
      <c r="C100" s="133" t="s">
        <v>285</v>
      </c>
      <c r="D100" s="98"/>
      <c r="E100" s="100">
        <v>0</v>
      </c>
      <c r="F100" s="95">
        <v>2.2989999999999999</v>
      </c>
      <c r="G100" s="64">
        <f t="shared" si="19"/>
        <v>2.0647340104481503E-2</v>
      </c>
      <c r="H100" s="64">
        <f t="shared" ref="H100:H105" si="20">G100/G$106</f>
        <v>2.0646369270585514E-2</v>
      </c>
      <c r="I100" s="101">
        <v>2.1000000000000001E-2</v>
      </c>
      <c r="J100" s="101">
        <v>8.0000000000000002E-3</v>
      </c>
      <c r="L100" s="93" t="s">
        <v>286</v>
      </c>
    </row>
    <row r="101" spans="2:12" x14ac:dyDescent="0.2">
      <c r="B101" s="134" t="s">
        <v>287</v>
      </c>
      <c r="C101" s="133" t="s">
        <v>288</v>
      </c>
      <c r="D101" s="98"/>
      <c r="E101" s="100">
        <v>1</v>
      </c>
      <c r="F101" s="95">
        <v>3.31</v>
      </c>
      <c r="G101" s="64">
        <f t="shared" si="19"/>
        <v>3.7481312734150051E-3</v>
      </c>
      <c r="H101" s="64">
        <f t="shared" si="20"/>
        <v>3.7479550370151378E-3</v>
      </c>
      <c r="I101" s="101">
        <v>4.0000000000000001E-3</v>
      </c>
      <c r="J101" s="101">
        <v>3.0000000000000001E-3</v>
      </c>
      <c r="L101" s="93" t="s">
        <v>289</v>
      </c>
    </row>
    <row r="102" spans="2:12" x14ac:dyDescent="0.2">
      <c r="B102" s="134" t="s">
        <v>290</v>
      </c>
      <c r="C102" s="133" t="s">
        <v>291</v>
      </c>
      <c r="D102" s="98"/>
      <c r="E102" s="100">
        <v>1</v>
      </c>
      <c r="F102" s="95">
        <v>3.8929999999999998</v>
      </c>
      <c r="G102" s="64">
        <f t="shared" si="19"/>
        <v>1.4011469398303852E-3</v>
      </c>
      <c r="H102" s="64">
        <f t="shared" si="20"/>
        <v>1.4010810581751422E-3</v>
      </c>
      <c r="I102" s="112">
        <v>1E-3</v>
      </c>
      <c r="J102" s="101">
        <v>0</v>
      </c>
      <c r="L102" s="93" t="s">
        <v>292</v>
      </c>
    </row>
    <row r="103" spans="2:12" x14ac:dyDescent="0.2">
      <c r="B103" s="134" t="s">
        <v>293</v>
      </c>
      <c r="C103" s="133" t="s">
        <v>294</v>
      </c>
      <c r="D103" s="98"/>
      <c r="E103" s="100">
        <v>1</v>
      </c>
      <c r="F103" s="95">
        <v>4.431</v>
      </c>
      <c r="G103" s="64">
        <f t="shared" si="19"/>
        <v>5.6511516673608418E-4</v>
      </c>
      <c r="H103" s="64">
        <f t="shared" si="20"/>
        <v>5.6508859513140156E-4</v>
      </c>
      <c r="I103" s="112">
        <v>0</v>
      </c>
      <c r="J103" s="101">
        <v>4.0000000000000001E-3</v>
      </c>
      <c r="L103" s="93" t="s">
        <v>295</v>
      </c>
    </row>
    <row r="104" spans="2:12" x14ac:dyDescent="0.2">
      <c r="B104" s="134" t="s">
        <v>296</v>
      </c>
      <c r="C104" s="133" t="s">
        <v>297</v>
      </c>
      <c r="D104" s="98"/>
      <c r="E104" s="100">
        <v>2</v>
      </c>
      <c r="F104" s="95">
        <v>4.9720000000000004</v>
      </c>
      <c r="G104" s="64">
        <f t="shared" si="19"/>
        <v>2.2677296811160364E-4</v>
      </c>
      <c r="H104" s="64">
        <f t="shared" si="20"/>
        <v>2.2676230529096802E-4</v>
      </c>
      <c r="I104" s="112">
        <v>0</v>
      </c>
      <c r="J104" s="101">
        <f>0*3</f>
        <v>0</v>
      </c>
      <c r="L104" s="93" t="s">
        <v>298</v>
      </c>
    </row>
    <row r="105" spans="2:12" x14ac:dyDescent="0.2">
      <c r="B105" s="135" t="s">
        <v>299</v>
      </c>
      <c r="C105" s="136" t="s">
        <v>300</v>
      </c>
      <c r="D105" s="98"/>
      <c r="E105" s="100">
        <v>2</v>
      </c>
      <c r="F105" s="95">
        <v>5.4489999999999998</v>
      </c>
      <c r="G105" s="103">
        <f t="shared" si="19"/>
        <v>1.01381039388189E-4</v>
      </c>
      <c r="H105" s="64">
        <f t="shared" si="20"/>
        <v>1.0137627247153287E-4</v>
      </c>
      <c r="I105" s="113">
        <v>0</v>
      </c>
      <c r="J105" s="104">
        <v>0</v>
      </c>
      <c r="L105" s="102" t="s">
        <v>301</v>
      </c>
    </row>
    <row r="106" spans="2:12" x14ac:dyDescent="0.2">
      <c r="B106" s="134"/>
      <c r="C106" s="133"/>
      <c r="D106" s="98" t="s">
        <v>172</v>
      </c>
      <c r="E106" s="100"/>
      <c r="F106" s="95"/>
      <c r="G106" s="64">
        <f>SUM(G99:G105)</f>
        <v>1.0000470220155062</v>
      </c>
      <c r="H106" s="64">
        <f>SUM(H99:H105)</f>
        <v>0.99999999999999989</v>
      </c>
      <c r="I106" s="112">
        <f>SUM(I99:I105)</f>
        <v>1</v>
      </c>
      <c r="J106" s="101">
        <f>SUM(J99:J105)</f>
        <v>1</v>
      </c>
      <c r="L106" s="93"/>
    </row>
    <row r="107" spans="2:12" x14ac:dyDescent="0.2">
      <c r="B107" s="58"/>
      <c r="D107" s="105" t="s">
        <v>173</v>
      </c>
      <c r="E107" s="106">
        <v>0.98099999999999998</v>
      </c>
      <c r="F107" s="95"/>
      <c r="G107" s="96"/>
      <c r="H107" s="96">
        <f>SUMPRODUCT($E99:$E105, H99:H105)</f>
        <v>0.97968176930717688</v>
      </c>
      <c r="I107" s="96">
        <f>SUMPRODUCT($E99:$E105, I99:I105)</f>
        <v>0.97899999999999998</v>
      </c>
      <c r="J107" s="96">
        <f>SUMPRODUCT($E99:$E105, J99:J105)</f>
        <v>0.99199999999999999</v>
      </c>
      <c r="L107" s="55"/>
    </row>
    <row r="108" spans="2:12" x14ac:dyDescent="0.2">
      <c r="B108" s="58"/>
      <c r="C108" s="137"/>
      <c r="D108" s="105"/>
      <c r="E108" s="94"/>
      <c r="F108" s="107"/>
      <c r="G108" s="64"/>
      <c r="H108" s="64"/>
      <c r="I108" s="96"/>
      <c r="J108" s="64"/>
      <c r="L108" s="55"/>
    </row>
    <row r="110" spans="2:12" x14ac:dyDescent="0.2">
      <c r="B110" s="139"/>
      <c r="C110" s="138"/>
      <c r="D110" s="192" t="s">
        <v>384</v>
      </c>
      <c r="E110" s="124"/>
      <c r="F110" s="125"/>
      <c r="G110" s="126"/>
      <c r="H110" s="126"/>
      <c r="I110" s="127"/>
      <c r="J110" s="126"/>
      <c r="K110" s="120"/>
      <c r="L110" s="122"/>
    </row>
    <row r="111" spans="2:12" x14ac:dyDescent="0.2">
      <c r="B111" s="58"/>
      <c r="C111" s="133" t="s">
        <v>149</v>
      </c>
      <c r="D111" s="93" t="s">
        <v>303</v>
      </c>
      <c r="E111" s="99" t="s">
        <v>151</v>
      </c>
      <c r="F111" s="95" t="s">
        <v>152</v>
      </c>
      <c r="G111" s="64" t="s">
        <v>153</v>
      </c>
      <c r="H111" s="64" t="s">
        <v>154</v>
      </c>
      <c r="I111" s="96" t="s">
        <v>155</v>
      </c>
      <c r="J111" s="64" t="s">
        <v>47</v>
      </c>
      <c r="L111" s="93" t="s">
        <v>303</v>
      </c>
    </row>
    <row r="112" spans="2:12" x14ac:dyDescent="0.2">
      <c r="B112" s="134" t="s">
        <v>304</v>
      </c>
      <c r="C112" s="133" t="s">
        <v>305</v>
      </c>
      <c r="D112" s="98"/>
      <c r="E112" s="100">
        <v>0</v>
      </c>
      <c r="F112" s="95">
        <v>1.7999999999999999E-2</v>
      </c>
      <c r="G112" s="64">
        <f>EXP(-F112/$M$9)</f>
        <v>0.97007707989215608</v>
      </c>
      <c r="H112" s="64">
        <f>G112/G$114</f>
        <v>0.97089117504966183</v>
      </c>
      <c r="I112" s="101">
        <v>0.97099999999999997</v>
      </c>
      <c r="J112" s="101">
        <v>0.96599999999999997</v>
      </c>
      <c r="L112" s="93" t="s">
        <v>306</v>
      </c>
    </row>
    <row r="113" spans="1:13" x14ac:dyDescent="0.2">
      <c r="B113" s="135" t="s">
        <v>307</v>
      </c>
      <c r="C113" s="136" t="s">
        <v>308</v>
      </c>
      <c r="D113" s="98"/>
      <c r="E113" s="100">
        <v>1</v>
      </c>
      <c r="F113" s="95">
        <v>2.0960000000000001</v>
      </c>
      <c r="G113" s="103">
        <f>EXP(-F113/$M$9)</f>
        <v>2.9084417113454095E-2</v>
      </c>
      <c r="H113" s="64">
        <f>G113/G$114</f>
        <v>2.9108824950338123E-2</v>
      </c>
      <c r="I113" s="104">
        <v>2.9000000000000001E-2</v>
      </c>
      <c r="J113" s="104">
        <v>3.4000000000000002E-2</v>
      </c>
      <c r="L113" s="102" t="s">
        <v>307</v>
      </c>
    </row>
    <row r="114" spans="1:13" x14ac:dyDescent="0.2">
      <c r="B114" s="134"/>
      <c r="C114" s="133"/>
      <c r="D114" s="98" t="s">
        <v>172</v>
      </c>
      <c r="E114" s="100"/>
      <c r="F114" s="95"/>
      <c r="G114" s="64">
        <f>SUM(G112:G113)</f>
        <v>0.99916149700561019</v>
      </c>
      <c r="H114" s="64">
        <f>SUM(H112:H113)</f>
        <v>1</v>
      </c>
      <c r="I114" s="101">
        <f>SUM(I112:I113)</f>
        <v>1</v>
      </c>
      <c r="J114" s="101">
        <f>SUM(J112:J113)</f>
        <v>1</v>
      </c>
      <c r="L114" s="93"/>
    </row>
    <row r="115" spans="1:13" x14ac:dyDescent="0.2">
      <c r="B115" s="134"/>
      <c r="D115" s="105" t="s">
        <v>173</v>
      </c>
      <c r="E115" s="106">
        <v>3.1E-2</v>
      </c>
      <c r="F115" s="95"/>
      <c r="G115" s="96"/>
      <c r="H115" s="96">
        <f>SUMPRODUCT($E112:$E113, H112:H113)</f>
        <v>2.9108824950338123E-2</v>
      </c>
      <c r="I115" s="96">
        <f>SUMPRODUCT($E112:$E113, I112:I113)</f>
        <v>2.9000000000000001E-2</v>
      </c>
      <c r="J115" s="96">
        <f>SUMPRODUCT($E112:$E113, J112:J113)</f>
        <v>3.4000000000000002E-2</v>
      </c>
      <c r="L115" s="93"/>
    </row>
    <row r="116" spans="1:13" x14ac:dyDescent="0.2">
      <c r="B116" s="134"/>
      <c r="C116" s="137"/>
      <c r="D116" s="105"/>
      <c r="E116" s="94"/>
      <c r="F116" s="107"/>
      <c r="G116" s="96"/>
      <c r="H116" s="96"/>
      <c r="I116" s="96"/>
      <c r="J116" s="96"/>
      <c r="L116" s="93"/>
    </row>
    <row r="118" spans="1:13" x14ac:dyDescent="0.2">
      <c r="A118" s="120"/>
      <c r="B118" s="139"/>
      <c r="C118" s="138"/>
      <c r="D118" s="121" t="s">
        <v>309</v>
      </c>
      <c r="E118" s="124"/>
      <c r="F118" s="131"/>
      <c r="G118" s="126"/>
      <c r="H118" s="126"/>
      <c r="I118" s="127"/>
      <c r="J118" s="126"/>
      <c r="K118" s="127"/>
      <c r="L118" s="122"/>
      <c r="M118" s="120"/>
    </row>
    <row r="119" spans="1:13" x14ac:dyDescent="0.2">
      <c r="B119" s="58"/>
      <c r="C119" s="133" t="s">
        <v>149</v>
      </c>
      <c r="D119" s="93" t="s">
        <v>310</v>
      </c>
      <c r="E119" s="99" t="s">
        <v>151</v>
      </c>
      <c r="F119" s="95" t="s">
        <v>152</v>
      </c>
      <c r="G119" s="64" t="s">
        <v>153</v>
      </c>
      <c r="H119" s="64" t="s">
        <v>154</v>
      </c>
      <c r="I119" s="96" t="s">
        <v>155</v>
      </c>
      <c r="J119" s="64" t="s">
        <v>49</v>
      </c>
      <c r="K119" s="96" t="s">
        <v>50</v>
      </c>
      <c r="L119" s="93" t="s">
        <v>310</v>
      </c>
    </row>
    <row r="120" spans="1:13" x14ac:dyDescent="0.2">
      <c r="B120" s="134" t="s">
        <v>311</v>
      </c>
      <c r="C120" s="133" t="s">
        <v>312</v>
      </c>
      <c r="D120" s="98"/>
      <c r="E120" s="100">
        <v>1</v>
      </c>
      <c r="F120" s="95">
        <v>8.0000000000000002E-3</v>
      </c>
      <c r="G120" s="64">
        <f>EXP(-F120/$M$9)</f>
        <v>0.98658863490491489</v>
      </c>
      <c r="H120" s="64">
        <f>G120/G$123</f>
        <v>0.98609284942387321</v>
      </c>
      <c r="I120" s="101">
        <v>0.98599999999999999</v>
      </c>
      <c r="J120" s="101">
        <v>0.15</v>
      </c>
      <c r="K120" s="101">
        <v>0.50800000000000001</v>
      </c>
      <c r="L120" s="93" t="s">
        <v>311</v>
      </c>
    </row>
    <row r="121" spans="1:13" x14ac:dyDescent="0.2">
      <c r="B121" s="134" t="s">
        <v>313</v>
      </c>
      <c r="C121" s="133" t="s">
        <v>314</v>
      </c>
      <c r="D121" s="98"/>
      <c r="E121" s="100">
        <v>0</v>
      </c>
      <c r="F121" s="95">
        <v>2.536</v>
      </c>
      <c r="G121" s="64">
        <f>EXP(-F121/$M$9)</f>
        <v>1.3840325969349546E-2</v>
      </c>
      <c r="H121" s="64">
        <f t="shared" ref="H121:H122" si="21">G121/G$123</f>
        <v>1.3833370859159016E-2</v>
      </c>
      <c r="I121" s="101">
        <v>1.4E-2</v>
      </c>
      <c r="J121" s="101">
        <v>0.85</v>
      </c>
      <c r="K121" s="101">
        <v>0.49199999999999999</v>
      </c>
      <c r="L121" s="93" t="s">
        <v>315</v>
      </c>
    </row>
    <row r="122" spans="1:13" x14ac:dyDescent="0.2">
      <c r="B122" s="135" t="s">
        <v>316</v>
      </c>
      <c r="C122" s="136" t="s">
        <v>317</v>
      </c>
      <c r="D122" s="98"/>
      <c r="E122" s="100">
        <v>0</v>
      </c>
      <c r="F122" s="95">
        <v>5.6369999999999996</v>
      </c>
      <c r="G122" s="103">
        <f>EXP(-F122/$M$9)</f>
        <v>7.3816811763083401E-5</v>
      </c>
      <c r="H122" s="64">
        <f t="shared" si="21"/>
        <v>7.377971696771061E-5</v>
      </c>
      <c r="I122" s="104">
        <v>0</v>
      </c>
      <c r="J122" s="104">
        <v>0</v>
      </c>
      <c r="K122" s="113">
        <v>0</v>
      </c>
      <c r="L122" s="102" t="s">
        <v>318</v>
      </c>
    </row>
    <row r="123" spans="1:13" x14ac:dyDescent="0.2">
      <c r="B123" s="134"/>
      <c r="C123" s="133"/>
      <c r="D123" s="98" t="s">
        <v>172</v>
      </c>
      <c r="E123" s="100"/>
      <c r="F123" s="95"/>
      <c r="G123" s="64">
        <f>SUM(G120:G122)</f>
        <v>1.0005027776860276</v>
      </c>
      <c r="H123" s="64">
        <f>SUM(H120:H122)</f>
        <v>1</v>
      </c>
      <c r="I123" s="101">
        <f>SUM(I120:I122)</f>
        <v>1</v>
      </c>
      <c r="J123" s="101">
        <f>SUM(J120:J122)</f>
        <v>1</v>
      </c>
      <c r="K123" s="112">
        <f>SUM(K120:K122)</f>
        <v>1</v>
      </c>
      <c r="L123" s="93"/>
    </row>
    <row r="124" spans="1:13" x14ac:dyDescent="0.2">
      <c r="B124" s="58"/>
      <c r="D124" s="105" t="s">
        <v>173</v>
      </c>
      <c r="E124" s="106">
        <v>0.98599999999999999</v>
      </c>
      <c r="F124" s="107"/>
      <c r="G124" s="96"/>
      <c r="H124" s="96">
        <f>SUMPRODUCT($E120:$E122, H120:H122)</f>
        <v>0.98609284942387321</v>
      </c>
      <c r="I124" s="96">
        <f>SUMPRODUCT($E120:$E122, I120:I122)</f>
        <v>0.98599999999999999</v>
      </c>
      <c r="J124" s="96">
        <f t="shared" ref="J124:K124" si="22">SUMPRODUCT($E120:$E122, J120:J122)</f>
        <v>0.15</v>
      </c>
      <c r="K124" s="96">
        <f t="shared" si="22"/>
        <v>0.50800000000000001</v>
      </c>
      <c r="L124" s="55"/>
    </row>
    <row r="125" spans="1:13" x14ac:dyDescent="0.2">
      <c r="B125" s="58"/>
      <c r="C125" s="137"/>
      <c r="D125" s="105"/>
      <c r="E125" s="108"/>
      <c r="F125" s="95"/>
      <c r="G125" s="64"/>
      <c r="H125" s="64"/>
      <c r="I125" s="96"/>
      <c r="J125" s="64"/>
      <c r="K125" s="96"/>
      <c r="L125" s="55"/>
    </row>
    <row r="127" spans="1:13" x14ac:dyDescent="0.2">
      <c r="A127" s="120"/>
      <c r="B127" s="139"/>
      <c r="C127" s="138"/>
      <c r="D127" s="190" t="s">
        <v>138</v>
      </c>
      <c r="E127" s="124"/>
      <c r="F127" s="131"/>
      <c r="G127" s="126"/>
      <c r="H127" s="126"/>
      <c r="I127" s="127"/>
      <c r="J127" s="126"/>
      <c r="K127" s="120"/>
      <c r="L127" s="120"/>
      <c r="M127" s="120"/>
    </row>
    <row r="128" spans="1:13" x14ac:dyDescent="0.2">
      <c r="B128" s="58"/>
      <c r="C128" s="133" t="s">
        <v>149</v>
      </c>
      <c r="D128" s="93" t="s">
        <v>216</v>
      </c>
      <c r="E128" s="99" t="s">
        <v>151</v>
      </c>
      <c r="F128" s="95" t="s">
        <v>152</v>
      </c>
      <c r="G128" s="64" t="s">
        <v>153</v>
      </c>
      <c r="H128" s="64" t="s">
        <v>154</v>
      </c>
      <c r="I128" s="96" t="s">
        <v>155</v>
      </c>
      <c r="J128" s="64" t="s">
        <v>52</v>
      </c>
      <c r="L128" s="93" t="s">
        <v>216</v>
      </c>
    </row>
    <row r="129" spans="1:12" x14ac:dyDescent="0.2">
      <c r="B129" s="134" t="s">
        <v>217</v>
      </c>
      <c r="C129" s="133" t="s">
        <v>218</v>
      </c>
      <c r="D129" s="98"/>
      <c r="E129" s="100">
        <v>2</v>
      </c>
      <c r="F129" s="95">
        <v>0.28299999999999997</v>
      </c>
      <c r="G129" s="64">
        <f>EXP(-F129/$M$9)</f>
        <v>0.62024722476490501</v>
      </c>
      <c r="H129" s="64">
        <f>G129/G$133</f>
        <v>0.62041131668252469</v>
      </c>
      <c r="I129" s="101">
        <v>0.62</v>
      </c>
      <c r="J129" s="101">
        <f>0+0</f>
        <v>0</v>
      </c>
      <c r="L129" s="93" t="s">
        <v>219</v>
      </c>
    </row>
    <row r="130" spans="1:12" x14ac:dyDescent="0.2">
      <c r="B130" s="134" t="s">
        <v>220</v>
      </c>
      <c r="C130" s="133" t="s">
        <v>221</v>
      </c>
      <c r="D130" s="98"/>
      <c r="E130" s="100">
        <v>1</v>
      </c>
      <c r="F130" s="95">
        <v>0.58499999999999996</v>
      </c>
      <c r="G130" s="64">
        <f>EXP(-F130/$M$9)</f>
        <v>0.37256574050686803</v>
      </c>
      <c r="H130" s="64">
        <f t="shared" ref="H130:H132" si="23">G130/G$133</f>
        <v>0.37266430608581491</v>
      </c>
      <c r="I130" s="101">
        <v>0.373</v>
      </c>
      <c r="J130" s="101">
        <v>0.84699999999999998</v>
      </c>
      <c r="L130" s="93" t="s">
        <v>222</v>
      </c>
    </row>
    <row r="131" spans="1:12" x14ac:dyDescent="0.2">
      <c r="B131" s="134" t="s">
        <v>223</v>
      </c>
      <c r="C131" s="133" t="s">
        <v>224</v>
      </c>
      <c r="D131" s="98"/>
      <c r="E131" s="100">
        <v>0</v>
      </c>
      <c r="F131" s="95">
        <v>3.1920000000000002</v>
      </c>
      <c r="G131" s="64">
        <f>EXP(-F131/$M$9)</f>
        <v>4.5741162324412108E-3</v>
      </c>
      <c r="H131" s="64">
        <f t="shared" si="23"/>
        <v>4.575326355556685E-3</v>
      </c>
      <c r="I131" s="101">
        <v>5.0000000000000001E-3</v>
      </c>
      <c r="J131" s="101">
        <v>0.153</v>
      </c>
      <c r="L131" s="93" t="s">
        <v>225</v>
      </c>
    </row>
    <row r="132" spans="1:12" x14ac:dyDescent="0.2">
      <c r="B132" s="135" t="s">
        <v>226</v>
      </c>
      <c r="C132" s="136" t="s">
        <v>227</v>
      </c>
      <c r="D132" s="98"/>
      <c r="E132" s="100">
        <v>1</v>
      </c>
      <c r="F132" s="95">
        <v>3.5870000000000002</v>
      </c>
      <c r="G132" s="103">
        <f>EXP(-F132/$M$9)</f>
        <v>2.3484295781801821E-3</v>
      </c>
      <c r="H132" s="64">
        <f t="shared" si="23"/>
        <v>2.3490508761038033E-3</v>
      </c>
      <c r="I132" s="104">
        <v>2E-3</v>
      </c>
      <c r="J132" s="104">
        <v>0</v>
      </c>
      <c r="L132" s="102" t="s">
        <v>217</v>
      </c>
    </row>
    <row r="133" spans="1:12" x14ac:dyDescent="0.2">
      <c r="B133" s="134"/>
      <c r="C133" s="133"/>
      <c r="D133" s="98" t="s">
        <v>172</v>
      </c>
      <c r="E133" s="100"/>
      <c r="F133" s="95"/>
      <c r="G133" s="64">
        <f>SUM(G129:G132)</f>
        <v>0.99973551108239433</v>
      </c>
      <c r="H133" s="64">
        <f>SUM(H129:H132)</f>
        <v>1</v>
      </c>
      <c r="I133" s="101">
        <f>SUM(I129:I132)</f>
        <v>1</v>
      </c>
      <c r="J133" s="101">
        <f>SUM(J129:J132)</f>
        <v>1</v>
      </c>
      <c r="L133" s="93"/>
    </row>
    <row r="134" spans="1:12" x14ac:dyDescent="0.2">
      <c r="B134" s="134"/>
      <c r="D134" s="105" t="s">
        <v>173</v>
      </c>
      <c r="E134" s="106">
        <v>1.613</v>
      </c>
      <c r="F134" s="107"/>
      <c r="G134" s="96"/>
      <c r="H134" s="96">
        <f>SUMPRODUCT($E129:$E132, H129:H132)</f>
        <v>1.6158359903269679</v>
      </c>
      <c r="I134" s="96">
        <f>SUMPRODUCT($E129:$E132, I129:I132)</f>
        <v>1.615</v>
      </c>
      <c r="J134" s="96">
        <f>SUMPRODUCT($E129:$E132, J129:J132)</f>
        <v>0.84699999999999998</v>
      </c>
    </row>
    <row r="135" spans="1:12" x14ac:dyDescent="0.2">
      <c r="B135" s="58"/>
      <c r="C135" s="137"/>
      <c r="D135" s="105"/>
      <c r="E135" s="108"/>
      <c r="F135" s="95"/>
      <c r="G135" s="64"/>
      <c r="H135" s="64"/>
      <c r="I135" s="96"/>
      <c r="J135" s="64"/>
    </row>
    <row r="137" spans="1:12" x14ac:dyDescent="0.2">
      <c r="A137" s="120"/>
      <c r="B137" s="139"/>
      <c r="C137" s="138"/>
      <c r="D137" s="192" t="s">
        <v>385</v>
      </c>
      <c r="E137" s="124"/>
      <c r="F137" s="131"/>
      <c r="G137" s="126"/>
      <c r="H137" s="126"/>
      <c r="I137" s="127"/>
      <c r="J137" s="126"/>
      <c r="K137" s="127"/>
      <c r="L137" s="122"/>
    </row>
    <row r="138" spans="1:12" x14ac:dyDescent="0.2">
      <c r="B138" s="58"/>
      <c r="C138" s="133" t="s">
        <v>149</v>
      </c>
      <c r="D138" s="93" t="s">
        <v>320</v>
      </c>
      <c r="E138" s="99" t="s">
        <v>151</v>
      </c>
      <c r="F138" s="95" t="s">
        <v>152</v>
      </c>
      <c r="G138" s="64" t="s">
        <v>153</v>
      </c>
      <c r="H138" s="64" t="s">
        <v>154</v>
      </c>
      <c r="I138" s="96" t="s">
        <v>155</v>
      </c>
      <c r="J138" s="64" t="s">
        <v>54</v>
      </c>
      <c r="K138" s="96" t="s">
        <v>55</v>
      </c>
      <c r="L138" s="93" t="s">
        <v>320</v>
      </c>
    </row>
    <row r="139" spans="1:12" x14ac:dyDescent="0.2">
      <c r="B139" s="134" t="s">
        <v>321</v>
      </c>
      <c r="C139" s="133" t="s">
        <v>322</v>
      </c>
      <c r="D139" s="98"/>
      <c r="E139" s="100">
        <v>0</v>
      </c>
      <c r="F139" s="95">
        <v>0.124</v>
      </c>
      <c r="G139" s="64">
        <f>EXP(-F139/$M$9)</f>
        <v>0.81116588628804143</v>
      </c>
      <c r="H139" s="64">
        <f>G139/G$142</f>
        <v>0.81119549385723244</v>
      </c>
      <c r="I139" s="101">
        <v>0.81100000000000005</v>
      </c>
      <c r="J139" s="101">
        <v>0.96399999999999997</v>
      </c>
      <c r="K139" s="101">
        <v>0.98899999999999999</v>
      </c>
      <c r="L139" s="93" t="s">
        <v>323</v>
      </c>
    </row>
    <row r="140" spans="1:12" x14ac:dyDescent="0.2">
      <c r="B140" s="134" t="s">
        <v>324</v>
      </c>
      <c r="C140" s="133" t="s">
        <v>325</v>
      </c>
      <c r="D140" s="98"/>
      <c r="E140" s="100">
        <v>0</v>
      </c>
      <c r="F140" s="95">
        <v>0.99299999999999999</v>
      </c>
      <c r="G140" s="64">
        <f>EXP(-F140/$M$9)</f>
        <v>0.18713043964445561</v>
      </c>
      <c r="H140" s="64">
        <f t="shared" ref="H140:H141" si="24">G140/G$142</f>
        <v>0.18713726990881113</v>
      </c>
      <c r="I140" s="101">
        <v>0.187</v>
      </c>
      <c r="J140" s="101">
        <v>3.5999999999999997E-2</v>
      </c>
      <c r="K140" s="101">
        <v>1.0999999999999999E-2</v>
      </c>
      <c r="L140" s="93" t="s">
        <v>326</v>
      </c>
    </row>
    <row r="141" spans="1:12" x14ac:dyDescent="0.2">
      <c r="B141" s="135" t="s">
        <v>327</v>
      </c>
      <c r="C141" s="136" t="s">
        <v>328</v>
      </c>
      <c r="D141" s="98"/>
      <c r="E141" s="100">
        <v>1</v>
      </c>
      <c r="F141" s="95">
        <v>3.79</v>
      </c>
      <c r="G141" s="103">
        <f>EXP(-F141/$M$9)</f>
        <v>1.6671753820254448E-3</v>
      </c>
      <c r="H141" s="64">
        <f t="shared" si="24"/>
        <v>1.6672362339563646E-3</v>
      </c>
      <c r="I141" s="104">
        <v>2E-3</v>
      </c>
      <c r="J141" s="104">
        <v>0</v>
      </c>
      <c r="K141" s="113">
        <v>0</v>
      </c>
      <c r="L141" s="102" t="s">
        <v>327</v>
      </c>
    </row>
    <row r="142" spans="1:12" x14ac:dyDescent="0.2">
      <c r="B142" s="134"/>
      <c r="C142" s="133"/>
      <c r="D142" s="98" t="s">
        <v>172</v>
      </c>
      <c r="E142" s="100"/>
      <c r="F142" s="95"/>
      <c r="G142" s="64">
        <f>SUM(G139:G141)</f>
        <v>0.9999635013145225</v>
      </c>
      <c r="H142" s="64">
        <f>SUM(H139:H141)</f>
        <v>0.99999999999999989</v>
      </c>
      <c r="I142" s="101">
        <f>SUM(I139:I141)</f>
        <v>1</v>
      </c>
      <c r="J142" s="101">
        <f>SUM(J139:J141)</f>
        <v>1</v>
      </c>
      <c r="K142" s="112">
        <f>SUM(K139:K141)</f>
        <v>1</v>
      </c>
      <c r="L142" s="93"/>
    </row>
    <row r="143" spans="1:12" x14ac:dyDescent="0.2">
      <c r="B143" s="58"/>
      <c r="D143" s="105" t="s">
        <v>173</v>
      </c>
      <c r="E143" s="106">
        <v>3.0000000000000001E-3</v>
      </c>
      <c r="F143" s="107"/>
      <c r="G143" s="96"/>
      <c r="H143" s="96">
        <f>SUMPRODUCT($E139:$E141, H139:H141)</f>
        <v>1.6672362339563646E-3</v>
      </c>
      <c r="I143" s="96">
        <f>SUMPRODUCT($E139:$E141, I139:I141)</f>
        <v>2E-3</v>
      </c>
      <c r="J143" s="96">
        <f t="shared" ref="J143:K143" si="25">SUMPRODUCT($E139:$E141, J139:J141)</f>
        <v>0</v>
      </c>
      <c r="K143" s="96">
        <f t="shared" si="25"/>
        <v>0</v>
      </c>
      <c r="L143" s="55"/>
    </row>
    <row r="144" spans="1:12" x14ac:dyDescent="0.2">
      <c r="B144" s="58"/>
      <c r="C144" s="137"/>
      <c r="D144" s="105"/>
      <c r="E144" s="108"/>
      <c r="F144" s="95"/>
      <c r="G144" s="64"/>
      <c r="H144" s="64"/>
      <c r="I144" s="64"/>
      <c r="J144" s="64"/>
      <c r="K144" s="96"/>
      <c r="L144" s="55"/>
    </row>
    <row r="145" spans="2:15" x14ac:dyDescent="0.2">
      <c r="B145" s="58"/>
      <c r="C145" s="133" t="s">
        <v>149</v>
      </c>
      <c r="D145" s="93" t="s">
        <v>329</v>
      </c>
      <c r="E145" s="99" t="s">
        <v>151</v>
      </c>
      <c r="F145" s="95" t="s">
        <v>152</v>
      </c>
      <c r="G145" s="64" t="s">
        <v>153</v>
      </c>
      <c r="H145" s="64" t="s">
        <v>154</v>
      </c>
      <c r="I145" s="96" t="s">
        <v>155</v>
      </c>
      <c r="J145" s="64" t="s">
        <v>56</v>
      </c>
      <c r="L145" s="93" t="s">
        <v>329</v>
      </c>
    </row>
    <row r="146" spans="2:15" x14ac:dyDescent="0.2">
      <c r="B146" s="134" t="s">
        <v>330</v>
      </c>
      <c r="C146" s="133" t="s">
        <v>331</v>
      </c>
      <c r="D146" s="98" t="s">
        <v>332</v>
      </c>
      <c r="E146" s="100">
        <v>0</v>
      </c>
      <c r="F146" s="95">
        <v>0</v>
      </c>
      <c r="G146" s="64">
        <f>EXP(-F146/$M$9)</f>
        <v>1</v>
      </c>
      <c r="H146" s="64">
        <f>G146/G$149</f>
        <v>0.99988066244008789</v>
      </c>
      <c r="I146" s="112">
        <v>1</v>
      </c>
      <c r="J146" s="101">
        <v>1</v>
      </c>
      <c r="L146" s="93" t="s">
        <v>333</v>
      </c>
    </row>
    <row r="147" spans="2:15" x14ac:dyDescent="0.2">
      <c r="B147" s="134" t="s">
        <v>334</v>
      </c>
      <c r="C147" s="133" t="s">
        <v>335</v>
      </c>
      <c r="D147" s="98" t="s">
        <v>336</v>
      </c>
      <c r="E147" s="100">
        <v>-1</v>
      </c>
      <c r="F147" s="95">
        <v>5.7629999999999999</v>
      </c>
      <c r="G147" s="64">
        <f>EXP(-F147/$M$9)</f>
        <v>5.9675901532453E-5</v>
      </c>
      <c r="H147" s="64">
        <f t="shared" ref="H147:H148" si="26">G147/G$149</f>
        <v>5.9668779955978558E-5</v>
      </c>
      <c r="I147" s="112">
        <v>0</v>
      </c>
      <c r="J147" s="101">
        <v>0</v>
      </c>
      <c r="L147" s="93" t="s">
        <v>337</v>
      </c>
      <c r="M147" s="147" t="s">
        <v>338</v>
      </c>
      <c r="N147" s="147"/>
      <c r="O147" s="147"/>
    </row>
    <row r="148" spans="2:15" x14ac:dyDescent="0.2">
      <c r="B148" s="135" t="s">
        <v>339</v>
      </c>
      <c r="C148" s="136" t="s">
        <v>335</v>
      </c>
      <c r="D148" s="98" t="s">
        <v>340</v>
      </c>
      <c r="E148" s="100">
        <v>-1</v>
      </c>
      <c r="F148" s="95">
        <v>5.7629999999999999</v>
      </c>
      <c r="G148" s="103">
        <f>EXP(-F148/$M$9)</f>
        <v>5.9675901532453E-5</v>
      </c>
      <c r="H148" s="64">
        <f t="shared" si="26"/>
        <v>5.9668779955978558E-5</v>
      </c>
      <c r="I148" s="113">
        <v>0</v>
      </c>
      <c r="J148" s="104">
        <v>0</v>
      </c>
      <c r="L148" s="102" t="s">
        <v>341</v>
      </c>
      <c r="M148" s="147" t="s">
        <v>342</v>
      </c>
      <c r="N148" s="147"/>
      <c r="O148" s="147"/>
    </row>
    <row r="149" spans="2:15" x14ac:dyDescent="0.2">
      <c r="B149" s="134"/>
      <c r="C149" s="133"/>
      <c r="D149" s="98" t="s">
        <v>172</v>
      </c>
      <c r="E149" s="100"/>
      <c r="F149" s="95"/>
      <c r="G149" s="64">
        <f>SUM(G146:G148)</f>
        <v>1.0001193518030651</v>
      </c>
      <c r="H149" s="64">
        <f>SUM(H146:H148)</f>
        <v>0.99999999999999989</v>
      </c>
      <c r="I149" s="112">
        <f>SUM(I146:I148)</f>
        <v>1</v>
      </c>
      <c r="J149" s="101">
        <f>SUM(J146:J148)</f>
        <v>1</v>
      </c>
      <c r="L149" s="93"/>
      <c r="M149" s="147"/>
      <c r="N149" s="147"/>
      <c r="O149" s="147"/>
    </row>
    <row r="150" spans="2:15" x14ac:dyDescent="0.2">
      <c r="B150" s="58"/>
      <c r="D150" s="105" t="s">
        <v>173</v>
      </c>
      <c r="E150" s="106">
        <v>0</v>
      </c>
      <c r="F150" s="95"/>
      <c r="G150" s="96"/>
      <c r="H150" s="96">
        <f>SUMPRODUCT($E146:$E148, H146:H148)</f>
        <v>-1.1933755991195712E-4</v>
      </c>
      <c r="I150" s="96">
        <f>SUMPRODUCT($E146:$E148, I146:I148)</f>
        <v>0</v>
      </c>
      <c r="J150" s="96">
        <f>SUMPRODUCT($E146:$E148, J146:J148)</f>
        <v>0</v>
      </c>
      <c r="L150" s="55"/>
    </row>
    <row r="151" spans="2:15" x14ac:dyDescent="0.2">
      <c r="B151" s="58"/>
      <c r="C151" s="137"/>
      <c r="D151" s="105"/>
      <c r="E151" s="94"/>
      <c r="F151" s="107"/>
      <c r="G151" s="64"/>
      <c r="H151" s="64"/>
      <c r="I151" s="96"/>
      <c r="J151" s="64"/>
      <c r="L151" s="55"/>
    </row>
    <row r="152" spans="2:15" x14ac:dyDescent="0.2">
      <c r="B152" s="58"/>
      <c r="C152" s="133" t="s">
        <v>149</v>
      </c>
      <c r="D152" s="93" t="s">
        <v>343</v>
      </c>
      <c r="E152" s="99" t="s">
        <v>151</v>
      </c>
      <c r="F152" s="95" t="s">
        <v>152</v>
      </c>
      <c r="G152" s="64" t="s">
        <v>153</v>
      </c>
      <c r="H152" s="64" t="s">
        <v>154</v>
      </c>
      <c r="I152" s="96" t="s">
        <v>155</v>
      </c>
      <c r="J152" s="64" t="s">
        <v>57</v>
      </c>
      <c r="K152" s="96" t="s">
        <v>58</v>
      </c>
      <c r="L152" s="93" t="s">
        <v>343</v>
      </c>
    </row>
    <row r="153" spans="2:15" x14ac:dyDescent="0.2">
      <c r="B153" s="134" t="s">
        <v>344</v>
      </c>
      <c r="C153" s="133" t="s">
        <v>345</v>
      </c>
      <c r="D153" s="98"/>
      <c r="E153" s="100">
        <v>0</v>
      </c>
      <c r="F153" s="95">
        <v>4.0000000000000001E-3</v>
      </c>
      <c r="G153" s="64">
        <f>EXP(-F153/$M$9)</f>
        <v>0.99327168232307661</v>
      </c>
      <c r="H153" s="64">
        <f>G153/G$157</f>
        <v>0.99326665460921482</v>
      </c>
      <c r="I153" s="101">
        <v>0.99199999999999999</v>
      </c>
      <c r="J153" s="101">
        <v>1</v>
      </c>
      <c r="K153" s="112">
        <v>1</v>
      </c>
      <c r="L153" s="93" t="s">
        <v>346</v>
      </c>
    </row>
    <row r="154" spans="2:15" x14ac:dyDescent="0.2">
      <c r="B154" s="134" t="s">
        <v>347</v>
      </c>
      <c r="C154" s="133" t="s">
        <v>348</v>
      </c>
      <c r="D154" s="98"/>
      <c r="E154" s="100">
        <v>1</v>
      </c>
      <c r="F154" s="95">
        <v>3.2069999999999999</v>
      </c>
      <c r="G154" s="64">
        <f>EXP(-F154/$M$9)</f>
        <v>4.4597693575190809E-3</v>
      </c>
      <c r="H154" s="64">
        <f t="shared" ref="H154:H156" si="27">G154/G$157</f>
        <v>4.4597467831875882E-3</v>
      </c>
      <c r="I154" s="101">
        <v>5.0000000000000001E-3</v>
      </c>
      <c r="J154" s="101">
        <v>0</v>
      </c>
      <c r="K154" s="112">
        <v>0</v>
      </c>
      <c r="L154" s="93" t="s">
        <v>347</v>
      </c>
    </row>
    <row r="155" spans="2:15" x14ac:dyDescent="0.2">
      <c r="B155" s="134" t="s">
        <v>349</v>
      </c>
      <c r="C155" s="133" t="s">
        <v>350</v>
      </c>
      <c r="D155" s="98"/>
      <c r="E155" s="100">
        <v>0</v>
      </c>
      <c r="F155" s="95">
        <v>3.62</v>
      </c>
      <c r="G155" s="64">
        <f>EXP(-F155/$M$9)</f>
        <v>2.2212067685544851E-3</v>
      </c>
      <c r="H155" s="64">
        <f t="shared" si="27"/>
        <v>2.2211955253143337E-3</v>
      </c>
      <c r="I155" s="101">
        <v>3.0000000000000001E-3</v>
      </c>
      <c r="J155" s="101">
        <v>0</v>
      </c>
      <c r="K155" s="112">
        <v>0</v>
      </c>
      <c r="L155" s="93" t="s">
        <v>351</v>
      </c>
    </row>
    <row r="156" spans="2:15" x14ac:dyDescent="0.2">
      <c r="B156" s="135" t="s">
        <v>352</v>
      </c>
      <c r="C156" s="136" t="s">
        <v>353</v>
      </c>
      <c r="D156" s="98"/>
      <c r="E156" s="100">
        <v>-1</v>
      </c>
      <c r="F156" s="95">
        <v>5.84</v>
      </c>
      <c r="G156" s="103">
        <f>EXP(-F156/$M$9)</f>
        <v>5.240334753677544E-5</v>
      </c>
      <c r="H156" s="64">
        <f t="shared" si="27"/>
        <v>5.2403082283027146E-5</v>
      </c>
      <c r="I156" s="113">
        <v>0</v>
      </c>
      <c r="J156" s="104">
        <v>0</v>
      </c>
      <c r="K156" s="113">
        <v>0</v>
      </c>
      <c r="L156" s="102" t="s">
        <v>352</v>
      </c>
    </row>
    <row r="157" spans="2:15" x14ac:dyDescent="0.2">
      <c r="B157" s="134"/>
      <c r="C157" s="133"/>
      <c r="D157" s="98" t="s">
        <v>172</v>
      </c>
      <c r="E157" s="100"/>
      <c r="F157" s="95"/>
      <c r="G157" s="64">
        <f>SUM(G153:G156)</f>
        <v>1.0000050617966871</v>
      </c>
      <c r="H157" s="64">
        <f>SUM(H153:H156)</f>
        <v>0.99999999999999978</v>
      </c>
      <c r="I157" s="112">
        <f>SUM(I153:I156)</f>
        <v>1</v>
      </c>
      <c r="J157" s="101">
        <f>SUM(J153:J156)</f>
        <v>1</v>
      </c>
      <c r="K157" s="112">
        <f>SUM(K153:K156)</f>
        <v>1</v>
      </c>
      <c r="L157" s="93"/>
    </row>
    <row r="158" spans="2:15" x14ac:dyDescent="0.2">
      <c r="B158" s="58"/>
      <c r="D158" s="105" t="s">
        <v>173</v>
      </c>
      <c r="E158" s="119">
        <v>4.3431736893570954E-3</v>
      </c>
      <c r="F158" s="95"/>
      <c r="G158" s="96"/>
      <c r="H158" s="96">
        <f>SUMPRODUCT($E153:$E156, H153:H156)</f>
        <v>4.4073437009045612E-3</v>
      </c>
      <c r="I158" s="96">
        <f>SUMPRODUCT($E153:$E156, I153:I156)</f>
        <v>5.0000000000000001E-3</v>
      </c>
      <c r="J158" s="96">
        <f t="shared" ref="J158:K158" si="28">SUMPRODUCT($E153:$E156, J153:J156)</f>
        <v>0</v>
      </c>
      <c r="K158" s="96">
        <f t="shared" si="28"/>
        <v>0</v>
      </c>
      <c r="L158" s="55"/>
    </row>
    <row r="159" spans="2:15" x14ac:dyDescent="0.2">
      <c r="B159" s="58"/>
      <c r="C159" s="137"/>
      <c r="E159" s="94"/>
      <c r="F159" s="107"/>
      <c r="G159" s="64"/>
      <c r="H159" s="64"/>
      <c r="I159" s="96"/>
      <c r="J159" s="64"/>
      <c r="K159" s="96"/>
      <c r="L159" s="55"/>
    </row>
    <row r="160" spans="2:15" x14ac:dyDescent="0.2">
      <c r="B160" s="58"/>
      <c r="C160" s="133" t="s">
        <v>149</v>
      </c>
      <c r="D160" s="93" t="s">
        <v>354</v>
      </c>
      <c r="E160" s="99" t="s">
        <v>151</v>
      </c>
      <c r="F160" s="95" t="s">
        <v>152</v>
      </c>
      <c r="G160" s="64" t="s">
        <v>153</v>
      </c>
      <c r="H160" s="64" t="s">
        <v>154</v>
      </c>
      <c r="I160" s="96" t="s">
        <v>155</v>
      </c>
      <c r="J160" s="64" t="s">
        <v>59</v>
      </c>
      <c r="L160" s="93" t="s">
        <v>354</v>
      </c>
    </row>
    <row r="161" spans="2:12" x14ac:dyDescent="0.2">
      <c r="B161" s="134" t="s">
        <v>355</v>
      </c>
      <c r="C161" s="133" t="s">
        <v>356</v>
      </c>
      <c r="D161" s="98"/>
      <c r="E161" s="100">
        <v>1</v>
      </c>
      <c r="F161" s="95">
        <v>8.0000000000000002E-3</v>
      </c>
      <c r="G161" s="64">
        <f>EXP(-F161/$M$9)</f>
        <v>0.98658863490491489</v>
      </c>
      <c r="H161" s="64">
        <f>G161/G$165</f>
        <v>0.9868575623153284</v>
      </c>
      <c r="I161" s="101">
        <v>0.98699999999999999</v>
      </c>
      <c r="J161" s="101">
        <v>0.88600000000000001</v>
      </c>
      <c r="L161" s="93" t="s">
        <v>355</v>
      </c>
    </row>
    <row r="162" spans="2:12" x14ac:dyDescent="0.2">
      <c r="B162" s="134" t="s">
        <v>357</v>
      </c>
      <c r="C162" s="133" t="s">
        <v>358</v>
      </c>
      <c r="D162" s="98"/>
      <c r="E162" s="100">
        <v>0</v>
      </c>
      <c r="F162" s="95">
        <v>2.573</v>
      </c>
      <c r="G162" s="64">
        <f>EXP(-F162/$M$9)</f>
        <v>1.3002468775336944E-2</v>
      </c>
      <c r="H162" s="64">
        <f t="shared" ref="H162:H164" si="29">G162/G$165</f>
        <v>1.3006013028871824E-2</v>
      </c>
      <c r="I162" s="101">
        <v>1.2999999999999999E-2</v>
      </c>
      <c r="J162" s="101">
        <v>0.114</v>
      </c>
      <c r="L162" s="93" t="s">
        <v>359</v>
      </c>
    </row>
    <row r="163" spans="2:12" x14ac:dyDescent="0.2">
      <c r="B163" s="134" t="s">
        <v>360</v>
      </c>
      <c r="C163" s="133" t="s">
        <v>361</v>
      </c>
      <c r="D163" s="98"/>
      <c r="E163" s="100">
        <v>0</v>
      </c>
      <c r="F163" s="95">
        <v>5.6760000000000002</v>
      </c>
      <c r="G163" s="64">
        <f>EXP(-F163/$M$9)</f>
        <v>6.9114442838924523E-5</v>
      </c>
      <c r="H163" s="64">
        <f t="shared" si="29"/>
        <v>6.9133282269541566E-5</v>
      </c>
      <c r="I163" s="112">
        <v>0</v>
      </c>
      <c r="J163" s="101">
        <f>0*2</f>
        <v>0</v>
      </c>
      <c r="L163" s="93" t="s">
        <v>362</v>
      </c>
    </row>
    <row r="164" spans="2:12" x14ac:dyDescent="0.2">
      <c r="B164" s="135" t="s">
        <v>363</v>
      </c>
      <c r="C164" s="136" t="s">
        <v>364</v>
      </c>
      <c r="D164" s="98"/>
      <c r="E164" s="100">
        <v>0</v>
      </c>
      <c r="F164" s="95">
        <v>5.6920000000000002</v>
      </c>
      <c r="G164" s="103">
        <f>EXP(-F164/$M$9)</f>
        <v>6.7273036035886763E-5</v>
      </c>
      <c r="H164" s="64">
        <f t="shared" si="29"/>
        <v>6.7291373530088211E-5</v>
      </c>
      <c r="I164" s="113">
        <v>0</v>
      </c>
      <c r="J164" s="104">
        <v>0</v>
      </c>
      <c r="L164" s="102" t="s">
        <v>365</v>
      </c>
    </row>
    <row r="165" spans="2:12" x14ac:dyDescent="0.2">
      <c r="B165" s="134"/>
      <c r="C165" s="133"/>
      <c r="D165" s="98" t="s">
        <v>172</v>
      </c>
      <c r="E165" s="100"/>
      <c r="F165" s="95"/>
      <c r="G165" s="64">
        <f>SUM(G161:G164)</f>
        <v>0.99972749115912674</v>
      </c>
      <c r="H165" s="64">
        <f>SUM(H161:H164)</f>
        <v>0.99999999999999989</v>
      </c>
      <c r="I165" s="112">
        <f>SUM(I161:I164)</f>
        <v>1</v>
      </c>
      <c r="J165" s="101">
        <f>SUM(J161:J164)</f>
        <v>1</v>
      </c>
      <c r="L165" s="93"/>
    </row>
    <row r="166" spans="2:12" x14ac:dyDescent="0.2">
      <c r="B166" s="58"/>
      <c r="D166" s="105" t="s">
        <v>173</v>
      </c>
      <c r="E166" s="180">
        <v>0.98699999999999999</v>
      </c>
      <c r="F166" s="95"/>
      <c r="G166" s="96"/>
      <c r="H166" s="96">
        <f>SUMPRODUCT($E161:$E164, H161:H164)</f>
        <v>0.9868575623153284</v>
      </c>
      <c r="I166" s="96">
        <f>SUMPRODUCT($E161:$E164, I161:I164)</f>
        <v>0.98699999999999999</v>
      </c>
      <c r="J166" s="96">
        <f>SUMPRODUCT($E161:$E164, J161:J164)</f>
        <v>0.88600000000000001</v>
      </c>
      <c r="L166" s="55"/>
    </row>
    <row r="167" spans="2:12" x14ac:dyDescent="0.2">
      <c r="B167" s="134"/>
      <c r="C167" s="137"/>
      <c r="D167" s="105"/>
      <c r="E167" s="94"/>
      <c r="F167" s="107"/>
      <c r="G167" s="64"/>
      <c r="H167" s="64"/>
      <c r="I167" s="96"/>
      <c r="J167" s="64"/>
      <c r="L167" s="93"/>
    </row>
  </sheetData>
  <phoneticPr fontId="18" type="noConversion"/>
  <conditionalFormatting sqref="C19:C23">
    <cfRule type="expression" dxfId="31" priority="23">
      <formula>C19&lt;&gt;C19</formula>
    </cfRule>
  </conditionalFormatting>
  <conditionalFormatting sqref="C28:C30">
    <cfRule type="expression" dxfId="30" priority="22">
      <formula>C28&lt;&gt;C28</formula>
    </cfRule>
  </conditionalFormatting>
  <conditionalFormatting sqref="C42:C44">
    <cfRule type="expression" dxfId="29" priority="21">
      <formula>C42&lt;&gt;C42</formula>
    </cfRule>
  </conditionalFormatting>
  <conditionalFormatting sqref="C49:C52">
    <cfRule type="expression" dxfId="28" priority="20">
      <formula>C49&lt;&gt;C49</formula>
    </cfRule>
  </conditionalFormatting>
  <conditionalFormatting sqref="C59:C60">
    <cfRule type="expression" dxfId="27" priority="19">
      <formula>C59&lt;&gt;C59</formula>
    </cfRule>
  </conditionalFormatting>
  <conditionalFormatting sqref="C67:C69">
    <cfRule type="expression" dxfId="26" priority="18">
      <formula>C67&lt;&gt;C67</formula>
    </cfRule>
  </conditionalFormatting>
  <conditionalFormatting sqref="C76:C78">
    <cfRule type="expression" dxfId="25" priority="17">
      <formula>C76&lt;&gt;C76</formula>
    </cfRule>
  </conditionalFormatting>
  <conditionalFormatting sqref="C92:C94">
    <cfRule type="expression" dxfId="24" priority="16">
      <formula>C92&lt;&gt;C92</formula>
    </cfRule>
  </conditionalFormatting>
  <conditionalFormatting sqref="C99:C105">
    <cfRule type="expression" dxfId="23" priority="15">
      <formula>C99&lt;&gt;C99</formula>
    </cfRule>
  </conditionalFormatting>
  <conditionalFormatting sqref="C112:C113">
    <cfRule type="expression" dxfId="22" priority="14">
      <formula>C112&lt;&gt;C112</formula>
    </cfRule>
  </conditionalFormatting>
  <conditionalFormatting sqref="C120:C122">
    <cfRule type="expression" dxfId="21" priority="13">
      <formula>C120&lt;&gt;C120</formula>
    </cfRule>
  </conditionalFormatting>
  <conditionalFormatting sqref="C129:C132">
    <cfRule type="expression" dxfId="20" priority="12">
      <formula>C129&lt;&gt;C129</formula>
    </cfRule>
  </conditionalFormatting>
  <conditionalFormatting sqref="C139:C141">
    <cfRule type="expression" dxfId="19" priority="11">
      <formula>C139&lt;&gt;C139</formula>
    </cfRule>
  </conditionalFormatting>
  <conditionalFormatting sqref="C146:C147">
    <cfRule type="expression" dxfId="18" priority="10">
      <formula>C146&lt;&gt;C146</formula>
    </cfRule>
  </conditionalFormatting>
  <conditionalFormatting sqref="C153:C156">
    <cfRule type="expression" dxfId="17" priority="9">
      <formula>C153&lt;&gt;C153</formula>
    </cfRule>
  </conditionalFormatting>
  <conditionalFormatting sqref="C161:C164">
    <cfRule type="expression" dxfId="16" priority="8">
      <formula>C161&lt;&gt;C161</formula>
    </cfRule>
  </conditionalFormatting>
  <conditionalFormatting sqref="E1:E1048576">
    <cfRule type="cellIs" dxfId="15" priority="24" operator="between">
      <formula>1.99</formula>
      <formula>2.01</formula>
    </cfRule>
    <cfRule type="cellIs" dxfId="14" priority="25" operator="between">
      <formula>1.01</formula>
      <formula>1.99</formula>
    </cfRule>
    <cfRule type="cellIs" dxfId="13" priority="26" operator="between">
      <formula>0.99</formula>
      <formula>1.01</formula>
    </cfRule>
    <cfRule type="cellIs" dxfId="12" priority="27" operator="between">
      <formula>0.01</formula>
      <formula>0.99</formula>
    </cfRule>
    <cfRule type="cellIs" dxfId="11" priority="28" operator="between">
      <formula>-0.01</formula>
      <formula>0.01</formula>
    </cfRule>
    <cfRule type="cellIs" dxfId="10" priority="29" operator="between">
      <formula>-0.01</formula>
      <formula>-0.99</formula>
    </cfRule>
    <cfRule type="cellIs" dxfId="9" priority="30" operator="between">
      <formula>-0.99</formula>
      <formula>-1.01</formula>
    </cfRule>
  </conditionalFormatting>
  <conditionalFormatting sqref="M8:M9">
    <cfRule type="containsText" dxfId="8" priority="31" operator="containsText" text="FALSE">
      <formula>NOT(ISERROR(SEARCH("FALSE",M8)))</formula>
    </cfRule>
    <cfRule type="containsText" dxfId="7" priority="32" operator="containsText" text="TRUE">
      <formula>NOT(ISERROR(SEARCH("TRUE",M8)))</formula>
    </cfRule>
  </conditionalFormatting>
  <conditionalFormatting sqref="G7">
    <cfRule type="cellIs" dxfId="6" priority="1" operator="between">
      <formula>1.99</formula>
      <formula>2.01</formula>
    </cfRule>
    <cfRule type="cellIs" dxfId="5" priority="2" operator="between">
      <formula>1.01</formula>
      <formula>1.99</formula>
    </cfRule>
    <cfRule type="cellIs" dxfId="4" priority="3" operator="between">
      <formula>0.99</formula>
      <formula>1.01</formula>
    </cfRule>
    <cfRule type="cellIs" dxfId="3" priority="4" operator="between">
      <formula>0.01</formula>
      <formula>0.99</formula>
    </cfRule>
    <cfRule type="cellIs" dxfId="2" priority="5" operator="between">
      <formula>-0.01</formula>
      <formula>0.01</formula>
    </cfRule>
    <cfRule type="cellIs" dxfId="1" priority="6" operator="between">
      <formula>-0.01</formula>
      <formula>-0.99</formula>
    </cfRule>
    <cfRule type="cellIs" dxfId="0" priority="7" operator="between">
      <formula>-0.99</formula>
      <formula>-1.01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C53D-D628-E048-86C6-610CA63BEAE9}">
  <dimension ref="A1:V57"/>
  <sheetViews>
    <sheetView topLeftCell="A6" zoomScale="75" workbookViewId="0">
      <selection activeCell="A6" sqref="A6:P53"/>
    </sheetView>
  </sheetViews>
  <sheetFormatPr baseColWidth="10" defaultColWidth="11" defaultRowHeight="16" x14ac:dyDescent="0.2"/>
  <cols>
    <col min="1" max="1" width="14.6640625" bestFit="1" customWidth="1"/>
    <col min="11" max="11" width="4.83203125" style="56" bestFit="1" customWidth="1"/>
    <col min="13" max="13" width="14.6640625" style="55" bestFit="1" customWidth="1"/>
    <col min="14" max="14" width="21.33203125" style="55" bestFit="1" customWidth="1"/>
  </cols>
  <sheetData>
    <row r="1" spans="1:22" x14ac:dyDescent="0.2">
      <c r="A1" s="142" t="s">
        <v>366</v>
      </c>
    </row>
    <row r="5" spans="1:22" x14ac:dyDescent="0.2">
      <c r="A5" s="1"/>
      <c r="B5" s="2" t="s">
        <v>367</v>
      </c>
      <c r="C5" s="2"/>
      <c r="D5" s="3"/>
      <c r="E5" s="3"/>
      <c r="F5" s="3"/>
      <c r="G5" s="4"/>
      <c r="H5" s="5"/>
      <c r="I5" s="5"/>
      <c r="J5" s="6"/>
      <c r="M5" s="57"/>
      <c r="N5" s="58"/>
      <c r="O5" s="3"/>
      <c r="P5" s="6"/>
    </row>
    <row r="6" spans="1:22" x14ac:dyDescent="0.2">
      <c r="A6" s="5"/>
      <c r="B6" s="7"/>
      <c r="C6" s="3" t="s">
        <v>79</v>
      </c>
      <c r="D6" s="3" t="s">
        <v>79</v>
      </c>
      <c r="E6" s="3" t="s">
        <v>79</v>
      </c>
      <c r="F6" s="3" t="s">
        <v>79</v>
      </c>
      <c r="G6" s="4" t="s">
        <v>79</v>
      </c>
      <c r="H6" s="5" t="s">
        <v>368</v>
      </c>
      <c r="I6" s="5" t="s">
        <v>396</v>
      </c>
      <c r="J6" s="6" t="s">
        <v>369</v>
      </c>
      <c r="M6" s="59" t="s">
        <v>370</v>
      </c>
      <c r="N6" s="60" t="s">
        <v>371</v>
      </c>
      <c r="O6" s="3" t="s">
        <v>79</v>
      </c>
      <c r="P6" s="6" t="s">
        <v>369</v>
      </c>
    </row>
    <row r="7" spans="1:22" x14ac:dyDescent="0.2">
      <c r="A7" s="5" t="s">
        <v>372</v>
      </c>
      <c r="B7" s="7" t="s">
        <v>79</v>
      </c>
      <c r="C7" s="8" t="s">
        <v>373</v>
      </c>
      <c r="D7" s="7" t="s">
        <v>374</v>
      </c>
      <c r="E7" s="5" t="s">
        <v>375</v>
      </c>
      <c r="F7" s="5" t="s">
        <v>75</v>
      </c>
      <c r="G7" s="3" t="s">
        <v>376</v>
      </c>
      <c r="H7" s="5" t="s">
        <v>151</v>
      </c>
      <c r="I7" s="5" t="s">
        <v>151</v>
      </c>
      <c r="J7" s="5" t="s">
        <v>75</v>
      </c>
      <c r="K7" s="296" t="s">
        <v>377</v>
      </c>
      <c r="M7" s="58"/>
      <c r="N7" s="58"/>
      <c r="O7" s="5" t="s">
        <v>375</v>
      </c>
      <c r="P7" s="5" t="s">
        <v>75</v>
      </c>
    </row>
    <row r="8" spans="1:22" x14ac:dyDescent="0.2">
      <c r="A8" s="5"/>
      <c r="B8" s="294" t="s">
        <v>80</v>
      </c>
      <c r="C8" s="294"/>
      <c r="D8" s="294"/>
      <c r="E8" s="5"/>
      <c r="F8" s="5"/>
      <c r="G8" s="3"/>
      <c r="H8" s="10"/>
      <c r="I8" s="10"/>
      <c r="J8" s="10"/>
      <c r="M8" s="58"/>
      <c r="N8" s="58"/>
      <c r="O8" s="5"/>
      <c r="P8" s="10"/>
      <c r="R8" t="s">
        <v>74</v>
      </c>
      <c r="U8" t="s">
        <v>73</v>
      </c>
    </row>
    <row r="9" spans="1:22" x14ac:dyDescent="0.2">
      <c r="A9" s="232" t="s">
        <v>24</v>
      </c>
      <c r="B9" s="22" t="s">
        <v>150</v>
      </c>
      <c r="C9" s="233">
        <v>4</v>
      </c>
      <c r="D9" s="21">
        <v>0.94</v>
      </c>
      <c r="E9" s="20">
        <v>0.95</v>
      </c>
      <c r="F9" s="21">
        <v>0.01</v>
      </c>
      <c r="G9" s="22" t="s">
        <v>378</v>
      </c>
      <c r="H9" s="234">
        <v>-4.54</v>
      </c>
      <c r="I9" s="234">
        <v>-3.89</v>
      </c>
      <c r="J9" s="234">
        <f>I9-H9</f>
        <v>0.64999999999999991</v>
      </c>
      <c r="K9" s="235" t="s">
        <v>379</v>
      </c>
      <c r="M9" s="57" t="s">
        <v>24</v>
      </c>
      <c r="N9" s="58" t="s">
        <v>380</v>
      </c>
      <c r="O9" s="15">
        <f>E9</f>
        <v>0.95</v>
      </c>
      <c r="P9" s="10">
        <f>J9</f>
        <v>0.64999999999999991</v>
      </c>
      <c r="R9" t="s">
        <v>397</v>
      </c>
      <c r="S9">
        <v>-4.54</v>
      </c>
      <c r="U9" t="s">
        <v>397</v>
      </c>
      <c r="V9">
        <v>-3.89</v>
      </c>
    </row>
    <row r="10" spans="1:22" x14ac:dyDescent="0.2">
      <c r="A10" s="280" t="s">
        <v>25</v>
      </c>
      <c r="B10" s="19" t="s">
        <v>174</v>
      </c>
      <c r="C10" s="277">
        <v>5</v>
      </c>
      <c r="D10" s="18">
        <v>0.97</v>
      </c>
      <c r="E10" s="17">
        <v>1</v>
      </c>
      <c r="F10" s="18">
        <v>0.03</v>
      </c>
      <c r="G10" s="19" t="s">
        <v>378</v>
      </c>
      <c r="H10" s="278">
        <v>-8.85</v>
      </c>
      <c r="I10" s="278">
        <v>-8.09</v>
      </c>
      <c r="J10" s="278">
        <f t="shared" ref="J10:J12" si="0">I10-H10</f>
        <v>0.75999999999999979</v>
      </c>
      <c r="K10" s="297" t="s">
        <v>381</v>
      </c>
      <c r="M10" s="57" t="s">
        <v>25</v>
      </c>
      <c r="N10" s="58" t="s">
        <v>382</v>
      </c>
      <c r="O10" s="15">
        <f t="shared" ref="O10:O12" si="1">E10</f>
        <v>1</v>
      </c>
      <c r="P10" s="10">
        <f t="shared" ref="P10:P12" si="2">J10</f>
        <v>0.75999999999999979</v>
      </c>
      <c r="R10" t="s">
        <v>398</v>
      </c>
      <c r="S10">
        <v>-8.85</v>
      </c>
      <c r="U10" t="s">
        <v>398</v>
      </c>
      <c r="V10">
        <v>-8.09</v>
      </c>
    </row>
    <row r="11" spans="1:22" x14ac:dyDescent="0.2">
      <c r="A11" s="232" t="s">
        <v>26</v>
      </c>
      <c r="B11" s="22" t="s">
        <v>174</v>
      </c>
      <c r="C11" s="233">
        <v>5</v>
      </c>
      <c r="D11" s="21">
        <v>0.97</v>
      </c>
      <c r="E11" s="20">
        <v>1</v>
      </c>
      <c r="F11" s="21">
        <v>0.03</v>
      </c>
      <c r="G11" s="22" t="s">
        <v>378</v>
      </c>
      <c r="H11" s="234">
        <v>-5.78</v>
      </c>
      <c r="I11" s="234">
        <v>-4.83</v>
      </c>
      <c r="J11" s="234">
        <f t="shared" si="0"/>
        <v>0.95000000000000018</v>
      </c>
      <c r="K11" s="298" t="s">
        <v>381</v>
      </c>
      <c r="M11" s="57" t="s">
        <v>26</v>
      </c>
      <c r="N11" s="58" t="s">
        <v>382</v>
      </c>
      <c r="O11" s="15">
        <f>E11</f>
        <v>1</v>
      </c>
      <c r="P11" s="10">
        <f t="shared" si="2"/>
        <v>0.95000000000000018</v>
      </c>
      <c r="R11" t="s">
        <v>399</v>
      </c>
      <c r="S11">
        <v>-5.78</v>
      </c>
      <c r="U11" t="s">
        <v>399</v>
      </c>
      <c r="V11">
        <v>-4.83</v>
      </c>
    </row>
    <row r="12" spans="1:22" x14ac:dyDescent="0.2">
      <c r="A12" s="11" t="s">
        <v>27</v>
      </c>
      <c r="B12" s="12" t="s">
        <v>190</v>
      </c>
      <c r="C12" s="13">
        <v>3</v>
      </c>
      <c r="D12" s="239">
        <v>0.09</v>
      </c>
      <c r="E12" s="240">
        <v>0.09</v>
      </c>
      <c r="F12" s="239">
        <v>0</v>
      </c>
      <c r="G12" s="241" t="s">
        <v>383</v>
      </c>
      <c r="H12" s="218">
        <v>-4.42</v>
      </c>
      <c r="I12" s="218">
        <v>-4.1399999999999997</v>
      </c>
      <c r="J12" s="218">
        <f t="shared" si="0"/>
        <v>0.28000000000000025</v>
      </c>
      <c r="K12" s="299" t="s">
        <v>381</v>
      </c>
      <c r="M12" s="57" t="s">
        <v>27</v>
      </c>
      <c r="N12" s="58" t="s">
        <v>382</v>
      </c>
      <c r="O12" s="15">
        <f t="shared" si="1"/>
        <v>0.09</v>
      </c>
      <c r="P12" s="10">
        <f t="shared" si="2"/>
        <v>0.28000000000000025</v>
      </c>
      <c r="R12" t="s">
        <v>400</v>
      </c>
      <c r="S12">
        <v>-4.42</v>
      </c>
      <c r="U12" t="s">
        <v>400</v>
      </c>
      <c r="V12">
        <v>-4.1399999999999997</v>
      </c>
    </row>
    <row r="13" spans="1:22" ht="17" thickBot="1" x14ac:dyDescent="0.25">
      <c r="A13" s="25" t="s">
        <v>28</v>
      </c>
      <c r="B13" s="26" t="s">
        <v>190</v>
      </c>
      <c r="C13" s="27">
        <v>3</v>
      </c>
      <c r="D13" s="28">
        <v>0.09</v>
      </c>
      <c r="E13" s="29">
        <v>0.22</v>
      </c>
      <c r="F13" s="28">
        <v>0.13</v>
      </c>
      <c r="G13" s="30" t="s">
        <v>383</v>
      </c>
      <c r="H13" s="34">
        <v>-9.07</v>
      </c>
      <c r="I13" s="34">
        <v>-8.6999999999999993</v>
      </c>
      <c r="J13" s="35">
        <f>I13-H13</f>
        <v>0.37000000000000099</v>
      </c>
      <c r="K13" s="299" t="s">
        <v>381</v>
      </c>
      <c r="M13" s="61" t="s">
        <v>28</v>
      </c>
      <c r="N13" s="58" t="s">
        <v>382</v>
      </c>
      <c r="O13" s="29">
        <f>E13</f>
        <v>0.22</v>
      </c>
      <c r="P13" s="35">
        <f>J13</f>
        <v>0.37000000000000099</v>
      </c>
      <c r="R13" t="s">
        <v>401</v>
      </c>
      <c r="S13">
        <v>-9.07</v>
      </c>
      <c r="U13" t="s">
        <v>401</v>
      </c>
      <c r="V13">
        <v>-8.6999999999999993</v>
      </c>
    </row>
    <row r="14" spans="1:22" ht="17" thickTop="1" x14ac:dyDescent="0.2">
      <c r="A14" s="11"/>
      <c r="B14" s="294" t="s">
        <v>200</v>
      </c>
      <c r="C14" s="294"/>
      <c r="D14" s="294"/>
      <c r="E14" s="15"/>
      <c r="F14" s="14"/>
      <c r="G14" s="24"/>
      <c r="H14" s="10"/>
      <c r="I14" s="10"/>
      <c r="J14" s="10"/>
      <c r="K14" s="245"/>
      <c r="M14" s="58"/>
      <c r="N14" s="58"/>
      <c r="O14" s="15"/>
      <c r="P14" s="10"/>
    </row>
    <row r="15" spans="1:22" x14ac:dyDescent="0.2">
      <c r="A15" s="232" t="s">
        <v>30</v>
      </c>
      <c r="B15" s="22" t="s">
        <v>201</v>
      </c>
      <c r="C15" s="233">
        <v>2</v>
      </c>
      <c r="D15" s="21">
        <v>0.56000000000000005</v>
      </c>
      <c r="E15" s="20">
        <v>0.74</v>
      </c>
      <c r="F15" s="21">
        <v>0.18</v>
      </c>
      <c r="G15" s="45" t="s">
        <v>120</v>
      </c>
      <c r="H15" s="234">
        <v>-8.31</v>
      </c>
      <c r="I15" s="234">
        <v>-7.48</v>
      </c>
      <c r="J15" s="235">
        <f>I15-H15</f>
        <v>0.83000000000000007</v>
      </c>
      <c r="K15" s="292" t="s">
        <v>379</v>
      </c>
      <c r="M15" s="57" t="s">
        <v>30</v>
      </c>
      <c r="N15" s="58" t="s">
        <v>380</v>
      </c>
      <c r="O15" s="15">
        <f>E15</f>
        <v>0.74</v>
      </c>
      <c r="P15" s="23">
        <f>J15</f>
        <v>0.83000000000000007</v>
      </c>
      <c r="R15" t="s">
        <v>402</v>
      </c>
      <c r="S15">
        <v>-8.31</v>
      </c>
      <c r="U15" t="s">
        <v>402</v>
      </c>
      <c r="V15">
        <v>-7.48</v>
      </c>
    </row>
    <row r="16" spans="1:22" x14ac:dyDescent="0.2">
      <c r="A16" s="268" t="s">
        <v>31</v>
      </c>
      <c r="B16" s="269" t="s">
        <v>207</v>
      </c>
      <c r="C16" s="270">
        <v>3</v>
      </c>
      <c r="D16" s="271">
        <v>1</v>
      </c>
      <c r="E16" s="272">
        <v>1</v>
      </c>
      <c r="F16" s="271">
        <v>0</v>
      </c>
      <c r="G16" s="273" t="s">
        <v>120</v>
      </c>
      <c r="H16" s="274">
        <v>-3.82</v>
      </c>
      <c r="I16" s="274">
        <v>-3.4</v>
      </c>
      <c r="J16" s="281">
        <f t="shared" ref="J16:J17" si="3">I16-H16</f>
        <v>0.41999999999999993</v>
      </c>
      <c r="K16" s="300" t="s">
        <v>379</v>
      </c>
      <c r="M16" s="57" t="s">
        <v>31</v>
      </c>
      <c r="N16" s="58" t="s">
        <v>380</v>
      </c>
      <c r="O16" s="15">
        <f t="shared" ref="O16:O18" si="4">E16</f>
        <v>1</v>
      </c>
      <c r="P16" s="23">
        <f t="shared" ref="P16:P18" si="5">J16</f>
        <v>0.41999999999999993</v>
      </c>
      <c r="R16" t="s">
        <v>403</v>
      </c>
      <c r="S16">
        <v>-3.82</v>
      </c>
      <c r="U16" t="s">
        <v>403</v>
      </c>
      <c r="V16">
        <v>-3.4</v>
      </c>
    </row>
    <row r="17" spans="1:22" x14ac:dyDescent="0.2">
      <c r="A17" s="11" t="s">
        <v>32</v>
      </c>
      <c r="B17" s="12" t="s">
        <v>216</v>
      </c>
      <c r="C17" s="13">
        <v>4</v>
      </c>
      <c r="D17" s="14">
        <v>1.61</v>
      </c>
      <c r="E17" s="15">
        <v>1</v>
      </c>
      <c r="F17" s="14">
        <v>-0.61</v>
      </c>
      <c r="G17" s="24" t="s">
        <v>383</v>
      </c>
      <c r="H17" s="10">
        <v>-5.32</v>
      </c>
      <c r="I17" s="10">
        <v>-4.38</v>
      </c>
      <c r="J17" s="23">
        <f t="shared" si="3"/>
        <v>0.94000000000000039</v>
      </c>
      <c r="K17" s="245" t="s">
        <v>379</v>
      </c>
      <c r="M17" s="57" t="s">
        <v>32</v>
      </c>
      <c r="N17" s="58" t="s">
        <v>380</v>
      </c>
      <c r="O17" s="15">
        <f t="shared" si="4"/>
        <v>1</v>
      </c>
      <c r="P17" s="23">
        <f t="shared" si="5"/>
        <v>0.94000000000000039</v>
      </c>
      <c r="R17" t="s">
        <v>404</v>
      </c>
      <c r="S17">
        <v>-5.32</v>
      </c>
      <c r="U17" t="s">
        <v>404</v>
      </c>
      <c r="V17">
        <v>-4.38</v>
      </c>
    </row>
    <row r="18" spans="1:22" x14ac:dyDescent="0.2">
      <c r="A18" s="236" t="s">
        <v>33</v>
      </c>
      <c r="B18" s="237" t="s">
        <v>216</v>
      </c>
      <c r="C18" s="238">
        <v>4</v>
      </c>
      <c r="D18" s="239">
        <v>1.61</v>
      </c>
      <c r="E18" s="240">
        <v>1</v>
      </c>
      <c r="F18" s="239">
        <v>-0.61</v>
      </c>
      <c r="G18" s="241" t="s">
        <v>383</v>
      </c>
      <c r="H18" s="218">
        <v>-5.44</v>
      </c>
      <c r="I18" s="218">
        <v>-4.46</v>
      </c>
      <c r="J18" s="23">
        <f>I18-H18</f>
        <v>0.98000000000000043</v>
      </c>
      <c r="K18" s="291" t="s">
        <v>379</v>
      </c>
      <c r="L18" s="242"/>
      <c r="M18" s="220" t="s">
        <v>33</v>
      </c>
      <c r="N18" s="243" t="s">
        <v>380</v>
      </c>
      <c r="O18" s="15">
        <f t="shared" si="4"/>
        <v>1</v>
      </c>
      <c r="P18" s="23">
        <f t="shared" si="5"/>
        <v>0.98000000000000043</v>
      </c>
      <c r="R18" t="s">
        <v>405</v>
      </c>
      <c r="S18">
        <v>-5.44</v>
      </c>
      <c r="U18" t="s">
        <v>405</v>
      </c>
      <c r="V18">
        <v>-4.46</v>
      </c>
    </row>
    <row r="19" spans="1:22" x14ac:dyDescent="0.2">
      <c r="A19" s="246" t="s">
        <v>393</v>
      </c>
      <c r="B19" s="247" t="s">
        <v>216</v>
      </c>
      <c r="C19" s="227">
        <v>4</v>
      </c>
      <c r="D19" s="261">
        <v>1.61</v>
      </c>
      <c r="E19" s="261">
        <v>1</v>
      </c>
      <c r="F19" s="261">
        <v>-0.61</v>
      </c>
      <c r="G19" s="227" t="s">
        <v>383</v>
      </c>
      <c r="H19" s="227">
        <v>-6.36</v>
      </c>
      <c r="I19" s="227">
        <v>-5.4</v>
      </c>
      <c r="J19" s="227">
        <f>I19-H19</f>
        <v>0.96</v>
      </c>
      <c r="K19" s="301" t="s">
        <v>379</v>
      </c>
      <c r="L19" s="228"/>
      <c r="M19" s="246" t="s">
        <v>393</v>
      </c>
      <c r="N19" s="230" t="s">
        <v>380</v>
      </c>
      <c r="O19" s="261">
        <f>E19</f>
        <v>1</v>
      </c>
      <c r="P19" s="227">
        <f>J19</f>
        <v>0.96</v>
      </c>
      <c r="R19" t="s">
        <v>406</v>
      </c>
      <c r="S19">
        <v>-6.36</v>
      </c>
      <c r="U19" t="s">
        <v>406</v>
      </c>
      <c r="V19">
        <v>-5.4</v>
      </c>
    </row>
    <row r="20" spans="1:22" x14ac:dyDescent="0.2">
      <c r="A20" s="248" t="s">
        <v>392</v>
      </c>
      <c r="B20" s="247" t="s">
        <v>216</v>
      </c>
      <c r="C20" s="227">
        <v>4</v>
      </c>
      <c r="D20" s="261">
        <v>1.61</v>
      </c>
      <c r="E20" s="261">
        <v>1</v>
      </c>
      <c r="F20" s="261">
        <v>-0.61</v>
      </c>
      <c r="G20" s="227" t="s">
        <v>383</v>
      </c>
      <c r="H20" s="227">
        <v>-6.88</v>
      </c>
      <c r="I20" s="227">
        <v>-5.95</v>
      </c>
      <c r="J20" s="227">
        <f t="shared" ref="J20:J21" si="6">I20-H20</f>
        <v>0.92999999999999972</v>
      </c>
      <c r="K20" s="301" t="s">
        <v>379</v>
      </c>
      <c r="L20" s="228"/>
      <c r="M20" s="248" t="s">
        <v>392</v>
      </c>
      <c r="N20" s="230" t="s">
        <v>380</v>
      </c>
      <c r="O20" s="261">
        <f t="shared" ref="O20:O21" si="7">E20</f>
        <v>1</v>
      </c>
      <c r="P20" s="227">
        <f>J20</f>
        <v>0.92999999999999972</v>
      </c>
      <c r="R20" t="s">
        <v>407</v>
      </c>
      <c r="S20">
        <v>-6.88</v>
      </c>
      <c r="U20" t="s">
        <v>407</v>
      </c>
      <c r="V20">
        <v>-5.95</v>
      </c>
    </row>
    <row r="21" spans="1:22" x14ac:dyDescent="0.2">
      <c r="A21" s="248" t="s">
        <v>394</v>
      </c>
      <c r="B21" s="247" t="s">
        <v>216</v>
      </c>
      <c r="C21" s="227">
        <v>4</v>
      </c>
      <c r="D21" s="261">
        <v>1.61</v>
      </c>
      <c r="E21" s="261">
        <v>1</v>
      </c>
      <c r="F21" s="261">
        <v>-0.61</v>
      </c>
      <c r="G21" s="227" t="s">
        <v>383</v>
      </c>
      <c r="H21" s="227">
        <v>-5.47</v>
      </c>
      <c r="I21" s="227">
        <v>-4.53</v>
      </c>
      <c r="J21" s="227">
        <f t="shared" si="6"/>
        <v>0.9399999999999995</v>
      </c>
      <c r="K21" s="301" t="s">
        <v>379</v>
      </c>
      <c r="L21" s="228"/>
      <c r="M21" s="248" t="s">
        <v>394</v>
      </c>
      <c r="N21" s="230" t="s">
        <v>380</v>
      </c>
      <c r="O21" s="261">
        <f t="shared" si="7"/>
        <v>1</v>
      </c>
      <c r="P21" s="227">
        <f>J21</f>
        <v>0.9399999999999995</v>
      </c>
      <c r="R21" t="s">
        <v>408</v>
      </c>
      <c r="S21">
        <v>-5.47</v>
      </c>
      <c r="U21" t="s">
        <v>408</v>
      </c>
      <c r="V21">
        <v>-4.53</v>
      </c>
    </row>
    <row r="22" spans="1:22" ht="17" thickBot="1" x14ac:dyDescent="0.25">
      <c r="A22" s="249" t="s">
        <v>395</v>
      </c>
      <c r="B22" s="250" t="s">
        <v>216</v>
      </c>
      <c r="C22" s="251">
        <v>4</v>
      </c>
      <c r="D22" s="252">
        <v>1.61</v>
      </c>
      <c r="E22" s="253">
        <v>1</v>
      </c>
      <c r="F22" s="254">
        <v>-0.61</v>
      </c>
      <c r="G22" s="255" t="s">
        <v>383</v>
      </c>
      <c r="H22" s="256">
        <v>-6.33</v>
      </c>
      <c r="I22" s="256">
        <v>-5.39</v>
      </c>
      <c r="J22" s="257">
        <f>I22-H22</f>
        <v>0.94000000000000039</v>
      </c>
      <c r="K22" s="301" t="s">
        <v>379</v>
      </c>
      <c r="L22" s="228"/>
      <c r="M22" s="249" t="s">
        <v>395</v>
      </c>
      <c r="N22" s="230" t="s">
        <v>380</v>
      </c>
      <c r="O22" s="253">
        <f>E22</f>
        <v>1</v>
      </c>
      <c r="P22" s="257">
        <f>J22</f>
        <v>0.94000000000000039</v>
      </c>
      <c r="R22" t="s">
        <v>409</v>
      </c>
      <c r="S22">
        <v>-6.33</v>
      </c>
      <c r="U22" t="s">
        <v>409</v>
      </c>
      <c r="V22">
        <v>-5.39</v>
      </c>
    </row>
    <row r="23" spans="1:22" ht="17" thickTop="1" x14ac:dyDescent="0.2">
      <c r="A23" s="11"/>
      <c r="B23" s="7" t="s">
        <v>228</v>
      </c>
      <c r="C23" s="13"/>
      <c r="D23" s="14"/>
      <c r="E23" s="15"/>
      <c r="F23" s="14"/>
      <c r="G23" s="24"/>
      <c r="H23" s="10"/>
      <c r="I23" s="10"/>
      <c r="J23" s="10"/>
      <c r="K23" s="245"/>
      <c r="M23" s="221"/>
      <c r="N23" s="58"/>
      <c r="O23" s="15"/>
      <c r="P23" s="10"/>
    </row>
    <row r="24" spans="1:22" x14ac:dyDescent="0.2">
      <c r="A24" s="222" t="s">
        <v>388</v>
      </c>
      <c r="B24" s="223" t="s">
        <v>229</v>
      </c>
      <c r="C24" s="224">
        <v>2</v>
      </c>
      <c r="D24" s="225">
        <v>0.97199999999999998</v>
      </c>
      <c r="E24" s="226">
        <v>1</v>
      </c>
      <c r="F24" s="225">
        <v>0.03</v>
      </c>
      <c r="G24" s="231" t="s">
        <v>120</v>
      </c>
      <c r="H24" s="262">
        <v>-8.86</v>
      </c>
      <c r="I24" s="262">
        <v>-8.8800000000000008</v>
      </c>
      <c r="J24" s="262">
        <f>I24-H24</f>
        <v>-2.000000000000135E-2</v>
      </c>
      <c r="K24" s="301" t="s">
        <v>379</v>
      </c>
      <c r="L24" s="228"/>
      <c r="M24" s="229" t="s">
        <v>388</v>
      </c>
      <c r="N24" s="263" t="s">
        <v>380</v>
      </c>
      <c r="O24" s="226">
        <f>E24</f>
        <v>1</v>
      </c>
      <c r="P24" s="262">
        <f>J24</f>
        <v>-2.000000000000135E-2</v>
      </c>
      <c r="R24" t="s">
        <v>410</v>
      </c>
      <c r="S24">
        <v>-8.86</v>
      </c>
      <c r="U24" t="s">
        <v>410</v>
      </c>
      <c r="V24">
        <v>-8.8800000000000008</v>
      </c>
    </row>
    <row r="25" spans="1:22" ht="17" thickBot="1" x14ac:dyDescent="0.25">
      <c r="A25" s="25" t="s">
        <v>35</v>
      </c>
      <c r="B25" s="26" t="s">
        <v>229</v>
      </c>
      <c r="C25" s="27">
        <v>2</v>
      </c>
      <c r="D25" s="28">
        <v>0.97</v>
      </c>
      <c r="E25" s="29">
        <v>0.99</v>
      </c>
      <c r="F25" s="28">
        <v>0.02</v>
      </c>
      <c r="G25" s="30" t="s">
        <v>120</v>
      </c>
      <c r="H25" s="34">
        <v>-0.28999999999999998</v>
      </c>
      <c r="I25" s="34">
        <v>0.74</v>
      </c>
      <c r="J25" s="35">
        <f>I25-H25</f>
        <v>1.03</v>
      </c>
      <c r="K25" s="245" t="s">
        <v>379</v>
      </c>
      <c r="L25" s="244"/>
      <c r="M25" s="61" t="s">
        <v>35</v>
      </c>
      <c r="N25" s="58" t="s">
        <v>380</v>
      </c>
      <c r="O25" s="29">
        <f>E25</f>
        <v>0.99</v>
      </c>
      <c r="P25" s="35">
        <f>J25</f>
        <v>1.03</v>
      </c>
      <c r="R25" t="s">
        <v>411</v>
      </c>
      <c r="S25">
        <v>-0.28999999999999998</v>
      </c>
      <c r="U25" t="s">
        <v>411</v>
      </c>
      <c r="V25">
        <v>0.74</v>
      </c>
    </row>
    <row r="26" spans="1:22" ht="17" thickTop="1" x14ac:dyDescent="0.2">
      <c r="A26" s="36"/>
      <c r="B26" s="295" t="s">
        <v>235</v>
      </c>
      <c r="C26" s="37"/>
      <c r="D26" s="38"/>
      <c r="E26" s="39"/>
      <c r="F26" s="38"/>
      <c r="G26" s="40"/>
      <c r="H26" s="41"/>
      <c r="I26" s="41"/>
      <c r="J26" s="41"/>
      <c r="K26" s="245"/>
      <c r="M26" s="58"/>
      <c r="N26" s="58"/>
      <c r="O26" s="39"/>
      <c r="P26" s="41"/>
    </row>
    <row r="27" spans="1:22" x14ac:dyDescent="0.2">
      <c r="A27" s="11" t="s">
        <v>37</v>
      </c>
      <c r="B27" s="12" t="s">
        <v>236</v>
      </c>
      <c r="C27" s="13">
        <v>3</v>
      </c>
      <c r="D27" s="14">
        <v>0.96</v>
      </c>
      <c r="E27" s="15">
        <v>1</v>
      </c>
      <c r="F27" s="14">
        <v>0.04</v>
      </c>
      <c r="G27" s="12" t="s">
        <v>378</v>
      </c>
      <c r="H27" s="10">
        <v>-5.5</v>
      </c>
      <c r="I27" s="10">
        <v>-3.61</v>
      </c>
      <c r="J27" s="42">
        <f>I27-H27</f>
        <v>1.8900000000000001</v>
      </c>
      <c r="K27" s="245" t="s">
        <v>381</v>
      </c>
      <c r="M27" s="57" t="s">
        <v>37</v>
      </c>
      <c r="N27" s="58" t="s">
        <v>382</v>
      </c>
      <c r="O27" s="15">
        <f>E27</f>
        <v>1</v>
      </c>
      <c r="P27" s="42">
        <f>J27</f>
        <v>1.8900000000000001</v>
      </c>
      <c r="R27" t="s">
        <v>412</v>
      </c>
      <c r="S27">
        <v>-5.5</v>
      </c>
      <c r="U27" t="s">
        <v>412</v>
      </c>
      <c r="V27">
        <v>-3.61</v>
      </c>
    </row>
    <row r="28" spans="1:22" ht="17" thickBot="1" x14ac:dyDescent="0.25">
      <c r="A28" s="25" t="s">
        <v>38</v>
      </c>
      <c r="B28" s="26" t="s">
        <v>236</v>
      </c>
      <c r="C28" s="27">
        <v>3</v>
      </c>
      <c r="D28" s="28">
        <v>0.96</v>
      </c>
      <c r="E28" s="29">
        <v>0.88</v>
      </c>
      <c r="F28" s="28">
        <v>-0.08</v>
      </c>
      <c r="G28" s="26" t="s">
        <v>378</v>
      </c>
      <c r="H28" s="34"/>
      <c r="I28" s="34"/>
      <c r="J28" s="43"/>
      <c r="K28" s="245" t="s">
        <v>381</v>
      </c>
      <c r="M28" s="61" t="s">
        <v>38</v>
      </c>
      <c r="N28" s="58" t="s">
        <v>382</v>
      </c>
      <c r="O28" s="29">
        <f>E28</f>
        <v>0.88</v>
      </c>
      <c r="P28" s="43"/>
    </row>
    <row r="29" spans="1:22" ht="17" thickTop="1" x14ac:dyDescent="0.2">
      <c r="A29" s="11"/>
      <c r="B29" s="294" t="s">
        <v>245</v>
      </c>
      <c r="C29" s="9"/>
      <c r="D29" s="9"/>
      <c r="E29" s="9"/>
      <c r="F29" s="14"/>
      <c r="G29" s="12"/>
      <c r="H29" s="10"/>
      <c r="I29" s="10"/>
      <c r="J29" s="10"/>
      <c r="K29" s="245"/>
      <c r="M29" s="58"/>
      <c r="N29" s="58"/>
      <c r="O29" s="9"/>
      <c r="P29" s="10"/>
    </row>
    <row r="30" spans="1:22" x14ac:dyDescent="0.2">
      <c r="A30" s="236" t="s">
        <v>40</v>
      </c>
      <c r="B30" s="237" t="s">
        <v>246</v>
      </c>
      <c r="C30" s="238">
        <v>3</v>
      </c>
      <c r="D30" s="239">
        <v>0.99</v>
      </c>
      <c r="E30" s="240">
        <v>0.95</v>
      </c>
      <c r="F30" s="239">
        <v>-0.04</v>
      </c>
      <c r="G30" s="241" t="s">
        <v>120</v>
      </c>
      <c r="H30" s="218">
        <v>-6.6</v>
      </c>
      <c r="I30" s="218">
        <v>-5.78</v>
      </c>
      <c r="J30" s="266">
        <f>I30-H30</f>
        <v>0.8199999999999994</v>
      </c>
      <c r="K30" s="291" t="s">
        <v>379</v>
      </c>
      <c r="L30" s="244"/>
      <c r="M30" s="57" t="s">
        <v>40</v>
      </c>
      <c r="N30" s="58" t="s">
        <v>380</v>
      </c>
      <c r="O30" s="240">
        <f>E30</f>
        <v>0.95</v>
      </c>
      <c r="P30" s="42">
        <f>J30</f>
        <v>0.8199999999999994</v>
      </c>
      <c r="R30" t="s">
        <v>413</v>
      </c>
      <c r="S30">
        <v>-6.6</v>
      </c>
      <c r="U30" t="s">
        <v>413</v>
      </c>
      <c r="V30">
        <v>-5.78</v>
      </c>
    </row>
    <row r="31" spans="1:22" x14ac:dyDescent="0.2">
      <c r="A31" s="232" t="s">
        <v>41</v>
      </c>
      <c r="B31" s="22" t="s">
        <v>246</v>
      </c>
      <c r="C31" s="233">
        <v>3</v>
      </c>
      <c r="D31" s="21">
        <v>0.99</v>
      </c>
      <c r="E31" s="20">
        <v>0.96</v>
      </c>
      <c r="F31" s="21">
        <v>-0.03</v>
      </c>
      <c r="G31" s="45" t="s">
        <v>120</v>
      </c>
      <c r="H31" s="234">
        <v>-0.64</v>
      </c>
      <c r="I31" s="234">
        <v>0.03</v>
      </c>
      <c r="J31" s="267">
        <f t="shared" ref="J31:J33" si="8">I31-H31</f>
        <v>0.67</v>
      </c>
      <c r="K31" s="292" t="s">
        <v>379</v>
      </c>
      <c r="L31" s="244"/>
      <c r="M31" s="57" t="s">
        <v>41</v>
      </c>
      <c r="N31" s="58" t="s">
        <v>380</v>
      </c>
      <c r="O31" s="240">
        <f t="shared" ref="O31:O33" si="9">E31</f>
        <v>0.96</v>
      </c>
      <c r="P31" s="42">
        <f t="shared" ref="P31:P33" si="10">J31</f>
        <v>0.67</v>
      </c>
      <c r="R31" t="s">
        <v>414</v>
      </c>
      <c r="S31">
        <v>-0.64</v>
      </c>
      <c r="U31" t="s">
        <v>414</v>
      </c>
      <c r="V31">
        <v>0.03</v>
      </c>
    </row>
    <row r="32" spans="1:22" x14ac:dyDescent="0.2">
      <c r="A32" s="276" t="s">
        <v>42</v>
      </c>
      <c r="B32" s="19" t="s">
        <v>255</v>
      </c>
      <c r="C32" s="277">
        <v>5</v>
      </c>
      <c r="D32" s="18">
        <v>0.3</v>
      </c>
      <c r="E32" s="17">
        <v>0.7</v>
      </c>
      <c r="F32" s="18">
        <v>0.4</v>
      </c>
      <c r="G32" s="44" t="s">
        <v>383</v>
      </c>
      <c r="H32" s="278">
        <v>-7.19</v>
      </c>
      <c r="I32" s="278">
        <v>-6.59</v>
      </c>
      <c r="J32" s="279">
        <f t="shared" si="8"/>
        <v>0.60000000000000053</v>
      </c>
      <c r="K32" s="293" t="s">
        <v>379</v>
      </c>
      <c r="L32" s="244"/>
      <c r="M32" s="57" t="s">
        <v>42</v>
      </c>
      <c r="N32" s="58" t="s">
        <v>380</v>
      </c>
      <c r="O32" s="240">
        <f t="shared" si="9"/>
        <v>0.7</v>
      </c>
      <c r="P32" s="42">
        <f t="shared" si="10"/>
        <v>0.60000000000000053</v>
      </c>
      <c r="R32" t="s">
        <v>415</v>
      </c>
      <c r="S32">
        <v>-7.19</v>
      </c>
      <c r="U32" t="s">
        <v>415</v>
      </c>
      <c r="V32">
        <v>-6.59</v>
      </c>
    </row>
    <row r="33" spans="1:22" x14ac:dyDescent="0.2">
      <c r="A33" s="236" t="s">
        <v>43</v>
      </c>
      <c r="B33" s="237" t="s">
        <v>255</v>
      </c>
      <c r="C33" s="238">
        <v>5</v>
      </c>
      <c r="D33" s="239">
        <v>0.3</v>
      </c>
      <c r="E33" s="240">
        <v>0.37</v>
      </c>
      <c r="F33" s="239">
        <v>7.0000000000000007E-2</v>
      </c>
      <c r="G33" s="241" t="s">
        <v>383</v>
      </c>
      <c r="H33" s="218">
        <v>-5.94</v>
      </c>
      <c r="I33" s="218">
        <v>-5.68</v>
      </c>
      <c r="J33" s="266">
        <f t="shared" si="8"/>
        <v>0.26000000000000068</v>
      </c>
      <c r="K33" s="291" t="s">
        <v>379</v>
      </c>
      <c r="L33" s="244"/>
      <c r="M33" s="57" t="s">
        <v>43</v>
      </c>
      <c r="N33" s="58" t="s">
        <v>380</v>
      </c>
      <c r="O33" s="240">
        <f t="shared" si="9"/>
        <v>0.37</v>
      </c>
      <c r="P33" s="42">
        <f t="shared" si="10"/>
        <v>0.26000000000000068</v>
      </c>
      <c r="R33" t="s">
        <v>416</v>
      </c>
      <c r="S33">
        <v>-5.94</v>
      </c>
      <c r="U33" t="s">
        <v>416</v>
      </c>
      <c r="V33">
        <v>-5.68</v>
      </c>
    </row>
    <row r="34" spans="1:22" x14ac:dyDescent="0.2">
      <c r="A34" s="246" t="s">
        <v>389</v>
      </c>
      <c r="B34" s="247" t="s">
        <v>255</v>
      </c>
      <c r="C34" s="282">
        <v>5</v>
      </c>
      <c r="D34" s="283">
        <v>1.61</v>
      </c>
      <c r="E34" s="265">
        <v>1</v>
      </c>
      <c r="F34" s="283">
        <f>E34-D34</f>
        <v>-0.6100000000000001</v>
      </c>
      <c r="G34" s="284" t="s">
        <v>383</v>
      </c>
      <c r="H34" s="262">
        <v>-5.75</v>
      </c>
      <c r="I34" s="262">
        <v>-5.16</v>
      </c>
      <c r="J34" s="285">
        <f>I34-H34</f>
        <v>0.58999999999999986</v>
      </c>
      <c r="K34" s="302" t="s">
        <v>379</v>
      </c>
      <c r="L34" s="228"/>
      <c r="M34" s="222" t="s">
        <v>389</v>
      </c>
      <c r="N34" s="230" t="s">
        <v>380</v>
      </c>
      <c r="O34" s="265">
        <f>E34</f>
        <v>1</v>
      </c>
      <c r="P34" s="264">
        <f>J34</f>
        <v>0.58999999999999986</v>
      </c>
      <c r="R34" t="s">
        <v>417</v>
      </c>
      <c r="S34">
        <v>-5.75</v>
      </c>
      <c r="U34" t="s">
        <v>417</v>
      </c>
      <c r="V34">
        <v>-5.16</v>
      </c>
    </row>
    <row r="35" spans="1:22" x14ac:dyDescent="0.2">
      <c r="A35" s="246" t="s">
        <v>387</v>
      </c>
      <c r="B35" s="247" t="s">
        <v>255</v>
      </c>
      <c r="C35" s="282">
        <v>5</v>
      </c>
      <c r="D35" s="283">
        <v>1.61</v>
      </c>
      <c r="E35" s="265">
        <v>1</v>
      </c>
      <c r="F35" s="283">
        <f t="shared" ref="F35:F37" si="11">E35-D35</f>
        <v>-0.6100000000000001</v>
      </c>
      <c r="G35" s="284" t="s">
        <v>383</v>
      </c>
      <c r="H35" s="262">
        <v>-3.03</v>
      </c>
      <c r="I35" s="262">
        <v>-2.94</v>
      </c>
      <c r="J35" s="285">
        <f t="shared" ref="J35:J36" si="12">I35-H35</f>
        <v>8.9999999999999858E-2</v>
      </c>
      <c r="K35" s="302" t="s">
        <v>379</v>
      </c>
      <c r="L35" s="228"/>
      <c r="M35" s="222" t="s">
        <v>387</v>
      </c>
      <c r="N35" s="230" t="s">
        <v>380</v>
      </c>
      <c r="O35" s="265">
        <f t="shared" ref="O35:O36" si="13">E35</f>
        <v>1</v>
      </c>
      <c r="P35" s="264">
        <f t="shared" ref="P35:P37" si="14">J35</f>
        <v>8.9999999999999858E-2</v>
      </c>
      <c r="R35" t="s">
        <v>418</v>
      </c>
      <c r="S35">
        <v>-3.03</v>
      </c>
      <c r="U35" t="s">
        <v>418</v>
      </c>
      <c r="V35">
        <v>-2.94</v>
      </c>
    </row>
    <row r="36" spans="1:22" x14ac:dyDescent="0.2">
      <c r="A36" s="246" t="s">
        <v>390</v>
      </c>
      <c r="B36" s="247" t="s">
        <v>255</v>
      </c>
      <c r="C36" s="282">
        <v>5</v>
      </c>
      <c r="D36" s="283">
        <v>1.61</v>
      </c>
      <c r="E36" s="265">
        <v>1</v>
      </c>
      <c r="F36" s="283">
        <f t="shared" si="11"/>
        <v>-0.6100000000000001</v>
      </c>
      <c r="G36" s="284" t="s">
        <v>383</v>
      </c>
      <c r="H36" s="262">
        <v>1.86</v>
      </c>
      <c r="I36" s="262">
        <v>2.2400000000000002</v>
      </c>
      <c r="J36" s="285">
        <f t="shared" si="12"/>
        <v>0.38000000000000012</v>
      </c>
      <c r="K36" s="302" t="s">
        <v>379</v>
      </c>
      <c r="L36" s="228"/>
      <c r="M36" s="222" t="s">
        <v>390</v>
      </c>
      <c r="N36" s="230" t="s">
        <v>380</v>
      </c>
      <c r="O36" s="265">
        <f t="shared" si="13"/>
        <v>1</v>
      </c>
      <c r="P36" s="264">
        <f t="shared" si="14"/>
        <v>0.38000000000000012</v>
      </c>
      <c r="R36" t="s">
        <v>419</v>
      </c>
      <c r="S36">
        <v>1.86</v>
      </c>
      <c r="U36" t="s">
        <v>419</v>
      </c>
      <c r="V36">
        <v>2.2400000000000002</v>
      </c>
    </row>
    <row r="37" spans="1:22" x14ac:dyDescent="0.2">
      <c r="A37" s="258" t="s">
        <v>391</v>
      </c>
      <c r="B37" s="286" t="s">
        <v>255</v>
      </c>
      <c r="C37" s="287">
        <v>5</v>
      </c>
      <c r="D37" s="288">
        <v>1.61</v>
      </c>
      <c r="E37" s="259">
        <v>1</v>
      </c>
      <c r="F37" s="288">
        <f t="shared" si="11"/>
        <v>-0.6100000000000001</v>
      </c>
      <c r="G37" s="289" t="s">
        <v>383</v>
      </c>
      <c r="H37" s="290">
        <v>-1.36</v>
      </c>
      <c r="I37" s="290">
        <v>-0.88</v>
      </c>
      <c r="J37" s="260">
        <f>I37-H37</f>
        <v>0.48000000000000009</v>
      </c>
      <c r="K37" s="303" t="s">
        <v>379</v>
      </c>
      <c r="L37" s="228"/>
      <c r="M37" s="222" t="s">
        <v>391</v>
      </c>
      <c r="N37" s="230" t="s">
        <v>380</v>
      </c>
      <c r="O37" s="265">
        <f>E37</f>
        <v>1</v>
      </c>
      <c r="P37" s="264">
        <f t="shared" si="14"/>
        <v>0.48000000000000009</v>
      </c>
      <c r="R37" t="s">
        <v>420</v>
      </c>
      <c r="S37">
        <v>-1.36</v>
      </c>
      <c r="U37" t="s">
        <v>420</v>
      </c>
      <c r="V37">
        <v>-0.88</v>
      </c>
    </row>
    <row r="38" spans="1:22" x14ac:dyDescent="0.2">
      <c r="A38" s="268" t="s">
        <v>44</v>
      </c>
      <c r="B38" s="269" t="s">
        <v>271</v>
      </c>
      <c r="C38" s="270">
        <v>3</v>
      </c>
      <c r="D38" s="271">
        <v>0.95</v>
      </c>
      <c r="E38" s="272">
        <v>0.45</v>
      </c>
      <c r="F38" s="271">
        <v>-0.5</v>
      </c>
      <c r="G38" s="273" t="s">
        <v>120</v>
      </c>
      <c r="H38" s="274">
        <v>-3.29</v>
      </c>
      <c r="I38" s="274">
        <v>-2.77</v>
      </c>
      <c r="J38" s="281">
        <f>I38-H38</f>
        <v>0.52</v>
      </c>
      <c r="K38" s="300" t="s">
        <v>379</v>
      </c>
      <c r="L38" s="242"/>
      <c r="M38" s="220" t="s">
        <v>44</v>
      </c>
      <c r="N38" s="243" t="s">
        <v>380</v>
      </c>
      <c r="O38" s="240">
        <f>E38</f>
        <v>0.45</v>
      </c>
      <c r="P38" s="219">
        <f>J38</f>
        <v>0.52</v>
      </c>
      <c r="R38" t="s">
        <v>421</v>
      </c>
      <c r="S38">
        <v>-3.29</v>
      </c>
      <c r="U38" t="s">
        <v>421</v>
      </c>
      <c r="V38">
        <v>-2.77</v>
      </c>
    </row>
    <row r="39" spans="1:22" ht="17" thickBot="1" x14ac:dyDescent="0.25">
      <c r="A39" s="25" t="s">
        <v>45</v>
      </c>
      <c r="B39" s="26" t="s">
        <v>280</v>
      </c>
      <c r="C39" s="27">
        <v>7</v>
      </c>
      <c r="D39" s="28">
        <v>0.98</v>
      </c>
      <c r="E39" s="29">
        <v>0.99</v>
      </c>
      <c r="F39" s="28">
        <v>0.01</v>
      </c>
      <c r="G39" s="30" t="s">
        <v>383</v>
      </c>
      <c r="H39" s="34">
        <v>-3.7</v>
      </c>
      <c r="I39" s="34">
        <v>-2.99</v>
      </c>
      <c r="J39" s="35">
        <f>I39-H39</f>
        <v>0.71</v>
      </c>
      <c r="K39" s="245" t="s">
        <v>379</v>
      </c>
      <c r="M39" s="61" t="s">
        <v>45</v>
      </c>
      <c r="N39" s="58" t="s">
        <v>380</v>
      </c>
      <c r="O39" s="29">
        <f>E39</f>
        <v>0.99</v>
      </c>
      <c r="P39" s="35">
        <f>J39</f>
        <v>0.71</v>
      </c>
      <c r="R39" t="s">
        <v>422</v>
      </c>
      <c r="S39">
        <v>-3.7</v>
      </c>
      <c r="U39" t="s">
        <v>422</v>
      </c>
      <c r="V39">
        <v>-2.99</v>
      </c>
    </row>
    <row r="40" spans="1:22" ht="18" thickTop="1" thickBot="1" x14ac:dyDescent="0.25">
      <c r="A40" s="11"/>
      <c r="B40" s="2" t="s">
        <v>302</v>
      </c>
      <c r="C40" s="13"/>
      <c r="D40" s="14"/>
      <c r="E40" s="15"/>
      <c r="F40" s="14"/>
      <c r="G40" s="24"/>
      <c r="H40" s="10"/>
      <c r="I40" s="10"/>
      <c r="J40" s="10"/>
      <c r="K40" s="245"/>
      <c r="M40" s="58"/>
      <c r="N40" s="58"/>
      <c r="O40" s="15"/>
      <c r="P40" s="10"/>
    </row>
    <row r="41" spans="1:22" ht="18" thickTop="1" thickBot="1" x14ac:dyDescent="0.25">
      <c r="A41" s="25" t="s">
        <v>47</v>
      </c>
      <c r="B41" s="26" t="s">
        <v>303</v>
      </c>
      <c r="C41" s="27">
        <v>2</v>
      </c>
      <c r="D41" s="46">
        <v>0.03</v>
      </c>
      <c r="E41" s="17">
        <v>0.03</v>
      </c>
      <c r="F41" s="18">
        <v>0</v>
      </c>
      <c r="G41" s="44" t="s">
        <v>120</v>
      </c>
      <c r="H41" s="31">
        <v>-1.67</v>
      </c>
      <c r="I41" s="31">
        <v>-1.55</v>
      </c>
      <c r="J41" s="32">
        <f>I41-H41</f>
        <v>0.11999999999999988</v>
      </c>
      <c r="K41" s="245" t="s">
        <v>379</v>
      </c>
      <c r="M41" s="62" t="s">
        <v>47</v>
      </c>
      <c r="N41" s="58" t="s">
        <v>380</v>
      </c>
      <c r="O41" s="46">
        <f>E41</f>
        <v>0.03</v>
      </c>
      <c r="P41" s="32">
        <f>J41</f>
        <v>0.11999999999999988</v>
      </c>
      <c r="R41" t="s">
        <v>423</v>
      </c>
      <c r="S41">
        <v>-1.67</v>
      </c>
      <c r="U41" t="s">
        <v>423</v>
      </c>
      <c r="V41">
        <v>-1.55</v>
      </c>
    </row>
    <row r="42" spans="1:22" ht="17" thickTop="1" x14ac:dyDescent="0.2">
      <c r="A42" s="11"/>
      <c r="B42" s="2" t="s">
        <v>309</v>
      </c>
      <c r="C42" s="13"/>
      <c r="D42" s="15"/>
      <c r="E42" s="15"/>
      <c r="F42" s="14"/>
      <c r="G42" s="24"/>
      <c r="H42" s="10"/>
      <c r="I42" s="10"/>
      <c r="J42" s="10"/>
      <c r="K42" s="245"/>
      <c r="M42" s="58"/>
      <c r="N42" s="58"/>
      <c r="O42" s="15"/>
      <c r="P42" s="10"/>
    </row>
    <row r="43" spans="1:22" x14ac:dyDescent="0.2">
      <c r="A43" s="11" t="s">
        <v>49</v>
      </c>
      <c r="B43" s="12" t="s">
        <v>310</v>
      </c>
      <c r="C43" s="13">
        <v>3</v>
      </c>
      <c r="D43" s="16">
        <v>0.99</v>
      </c>
      <c r="E43" s="17">
        <v>0.15</v>
      </c>
      <c r="F43" s="14">
        <v>-0.84</v>
      </c>
      <c r="G43" s="24" t="s">
        <v>383</v>
      </c>
      <c r="H43" s="10">
        <v>-4.34</v>
      </c>
      <c r="I43" s="10">
        <v>-4.26</v>
      </c>
      <c r="J43" s="23">
        <f>I43-H43</f>
        <v>8.0000000000000071E-2</v>
      </c>
      <c r="K43" s="245" t="s">
        <v>379</v>
      </c>
      <c r="M43" s="57" t="s">
        <v>49</v>
      </c>
      <c r="N43" s="58" t="s">
        <v>380</v>
      </c>
      <c r="O43" s="17">
        <f>E43</f>
        <v>0.15</v>
      </c>
      <c r="P43" s="23">
        <f>J43</f>
        <v>8.0000000000000071E-2</v>
      </c>
      <c r="R43" t="s">
        <v>424</v>
      </c>
      <c r="S43">
        <v>-4.34</v>
      </c>
      <c r="U43" t="s">
        <v>424</v>
      </c>
      <c r="V43">
        <v>-4.26</v>
      </c>
    </row>
    <row r="44" spans="1:22" ht="17" thickBot="1" x14ac:dyDescent="0.25">
      <c r="A44" s="25" t="s">
        <v>50</v>
      </c>
      <c r="B44" s="26" t="s">
        <v>310</v>
      </c>
      <c r="C44" s="27">
        <v>3</v>
      </c>
      <c r="D44" s="33">
        <v>0.96</v>
      </c>
      <c r="E44" s="29">
        <v>0.51</v>
      </c>
      <c r="F44" s="28">
        <v>-0.45</v>
      </c>
      <c r="G44" s="30" t="s">
        <v>383</v>
      </c>
      <c r="H44" s="31">
        <v>-3.57</v>
      </c>
      <c r="I44" s="31">
        <v>-2.96</v>
      </c>
      <c r="J44" s="32">
        <f>I44-H44</f>
        <v>0.60999999999999988</v>
      </c>
      <c r="K44" s="245" t="s">
        <v>379</v>
      </c>
      <c r="M44" s="61" t="s">
        <v>50</v>
      </c>
      <c r="N44" s="58" t="s">
        <v>380</v>
      </c>
      <c r="O44" s="29">
        <f>E44</f>
        <v>0.51</v>
      </c>
      <c r="P44" s="32">
        <f>J44</f>
        <v>0.60999999999999988</v>
      </c>
      <c r="R44" t="s">
        <v>425</v>
      </c>
      <c r="S44">
        <v>-3.57</v>
      </c>
      <c r="U44" t="s">
        <v>425</v>
      </c>
      <c r="V44">
        <v>-2.96</v>
      </c>
    </row>
    <row r="45" spans="1:22" ht="18" thickTop="1" thickBot="1" x14ac:dyDescent="0.25">
      <c r="A45" s="11"/>
      <c r="B45" s="294" t="s">
        <v>138</v>
      </c>
      <c r="C45" s="13"/>
      <c r="D45" s="14"/>
      <c r="E45" s="15"/>
      <c r="F45" s="14"/>
      <c r="G45" s="24"/>
      <c r="H45" s="10"/>
      <c r="I45" s="10"/>
      <c r="J45" s="10"/>
      <c r="K45" s="245"/>
      <c r="M45" s="58"/>
      <c r="N45" s="58"/>
      <c r="O45" s="15"/>
      <c r="P45" s="10"/>
    </row>
    <row r="46" spans="1:22" ht="18" thickTop="1" thickBot="1" x14ac:dyDescent="0.25">
      <c r="A46" s="25" t="s">
        <v>52</v>
      </c>
      <c r="B46" s="26" t="s">
        <v>216</v>
      </c>
      <c r="C46" s="27">
        <v>4</v>
      </c>
      <c r="D46" s="28">
        <v>1.61</v>
      </c>
      <c r="E46" s="29">
        <v>0.85</v>
      </c>
      <c r="F46" s="28">
        <v>-0.76</v>
      </c>
      <c r="G46" s="30" t="s">
        <v>383</v>
      </c>
      <c r="H46" s="31">
        <v>7.32</v>
      </c>
      <c r="I46" s="31">
        <v>8.06</v>
      </c>
      <c r="J46" s="32">
        <f>I46-H46</f>
        <v>0.74000000000000021</v>
      </c>
      <c r="K46" s="245" t="s">
        <v>379</v>
      </c>
      <c r="M46" s="62" t="s">
        <v>52</v>
      </c>
      <c r="N46" s="58" t="s">
        <v>380</v>
      </c>
      <c r="O46" s="29">
        <f>E46</f>
        <v>0.85</v>
      </c>
      <c r="P46" s="32">
        <f>J46</f>
        <v>0.74000000000000021</v>
      </c>
      <c r="R46" t="s">
        <v>426</v>
      </c>
      <c r="S46">
        <v>7.32</v>
      </c>
      <c r="U46" t="s">
        <v>426</v>
      </c>
      <c r="V46">
        <v>8.06</v>
      </c>
    </row>
    <row r="47" spans="1:22" ht="17" thickTop="1" x14ac:dyDescent="0.2">
      <c r="A47" s="11"/>
      <c r="B47" s="2" t="s">
        <v>319</v>
      </c>
      <c r="C47" s="47"/>
      <c r="D47" s="47"/>
      <c r="E47" s="47"/>
      <c r="F47" s="47"/>
      <c r="G47" s="24"/>
      <c r="H47" s="10"/>
      <c r="I47" s="10"/>
      <c r="J47" s="10"/>
      <c r="K47" s="245"/>
      <c r="M47" s="58"/>
      <c r="N47" s="58"/>
      <c r="O47" s="47"/>
      <c r="P47" s="10"/>
    </row>
    <row r="48" spans="1:22" x14ac:dyDescent="0.2">
      <c r="A48" s="236" t="s">
        <v>54</v>
      </c>
      <c r="B48" s="237" t="s">
        <v>320</v>
      </c>
      <c r="C48" s="238">
        <v>3</v>
      </c>
      <c r="D48" s="239">
        <v>0</v>
      </c>
      <c r="E48" s="240">
        <v>0</v>
      </c>
      <c r="F48" s="239">
        <v>0</v>
      </c>
      <c r="G48" s="237" t="s">
        <v>378</v>
      </c>
      <c r="H48" s="218">
        <v>4.91</v>
      </c>
      <c r="I48" s="218">
        <v>4.5999999999999996</v>
      </c>
      <c r="J48" s="266">
        <f>I48-H48</f>
        <v>-0.3100000000000005</v>
      </c>
      <c r="K48" s="291" t="s">
        <v>381</v>
      </c>
      <c r="M48" s="57" t="s">
        <v>54</v>
      </c>
      <c r="N48" s="58" t="s">
        <v>382</v>
      </c>
      <c r="O48" s="240">
        <f>E48</f>
        <v>0</v>
      </c>
      <c r="P48" s="42">
        <f>J48</f>
        <v>-0.3100000000000005</v>
      </c>
      <c r="R48" t="s">
        <v>427</v>
      </c>
      <c r="S48">
        <v>4.91</v>
      </c>
      <c r="U48" t="s">
        <v>427</v>
      </c>
      <c r="V48">
        <v>4.5999999999999996</v>
      </c>
    </row>
    <row r="49" spans="1:22" x14ac:dyDescent="0.2">
      <c r="A49" s="232" t="s">
        <v>55</v>
      </c>
      <c r="B49" s="22" t="s">
        <v>320</v>
      </c>
      <c r="C49" s="233">
        <v>3</v>
      </c>
      <c r="D49" s="21">
        <v>0</v>
      </c>
      <c r="E49" s="20">
        <v>0</v>
      </c>
      <c r="F49" s="21">
        <v>0</v>
      </c>
      <c r="G49" s="22" t="s">
        <v>378</v>
      </c>
      <c r="H49" s="234">
        <v>3.43</v>
      </c>
      <c r="I49" s="234">
        <v>3.42</v>
      </c>
      <c r="J49" s="267">
        <f t="shared" ref="J49:J51" si="15">I49-H49</f>
        <v>-1.0000000000000231E-2</v>
      </c>
      <c r="K49" s="292" t="s">
        <v>381</v>
      </c>
      <c r="M49" s="57" t="s">
        <v>55</v>
      </c>
      <c r="N49" s="58" t="s">
        <v>382</v>
      </c>
      <c r="O49" s="240">
        <f t="shared" ref="O49:O52" si="16">E49</f>
        <v>0</v>
      </c>
      <c r="P49" s="42">
        <f t="shared" ref="P49:P51" si="17">J49</f>
        <v>-1.0000000000000231E-2</v>
      </c>
      <c r="R49" t="s">
        <v>428</v>
      </c>
      <c r="S49">
        <v>3.43</v>
      </c>
      <c r="U49" t="s">
        <v>428</v>
      </c>
      <c r="V49">
        <v>3.42</v>
      </c>
    </row>
    <row r="50" spans="1:22" x14ac:dyDescent="0.2">
      <c r="A50" s="268" t="s">
        <v>56</v>
      </c>
      <c r="B50" s="269" t="s">
        <v>329</v>
      </c>
      <c r="C50" s="270">
        <v>3</v>
      </c>
      <c r="D50" s="271">
        <v>0</v>
      </c>
      <c r="E50" s="272">
        <v>0</v>
      </c>
      <c r="F50" s="271">
        <v>0</v>
      </c>
      <c r="G50" s="273" t="s">
        <v>383</v>
      </c>
      <c r="H50" s="274">
        <v>1.53</v>
      </c>
      <c r="I50" s="274">
        <v>1.55</v>
      </c>
      <c r="J50" s="275">
        <f t="shared" si="15"/>
        <v>2.0000000000000018E-2</v>
      </c>
      <c r="K50" s="300" t="s">
        <v>379</v>
      </c>
      <c r="M50" s="57" t="s">
        <v>56</v>
      </c>
      <c r="N50" s="58" t="s">
        <v>380</v>
      </c>
      <c r="O50" s="240">
        <f t="shared" si="16"/>
        <v>0</v>
      </c>
      <c r="P50" s="42">
        <f t="shared" si="17"/>
        <v>2.0000000000000018E-2</v>
      </c>
      <c r="R50" t="s">
        <v>429</v>
      </c>
      <c r="S50">
        <v>1.53</v>
      </c>
      <c r="U50" t="s">
        <v>429</v>
      </c>
      <c r="V50">
        <v>1.55</v>
      </c>
    </row>
    <row r="51" spans="1:22" x14ac:dyDescent="0.2">
      <c r="A51" s="276" t="s">
        <v>57</v>
      </c>
      <c r="B51" s="19" t="s">
        <v>343</v>
      </c>
      <c r="C51" s="277">
        <v>4</v>
      </c>
      <c r="D51" s="17">
        <v>0</v>
      </c>
      <c r="E51" s="17">
        <v>0</v>
      </c>
      <c r="F51" s="18">
        <v>0</v>
      </c>
      <c r="G51" s="44" t="s">
        <v>383</v>
      </c>
      <c r="H51" s="278">
        <v>5.7</v>
      </c>
      <c r="I51" s="278">
        <v>5.69</v>
      </c>
      <c r="J51" s="279">
        <f t="shared" si="15"/>
        <v>-9.9999999999997868E-3</v>
      </c>
      <c r="K51" s="293" t="s">
        <v>381</v>
      </c>
      <c r="M51" s="57" t="s">
        <v>57</v>
      </c>
      <c r="N51" s="58" t="s">
        <v>382</v>
      </c>
      <c r="O51" s="240">
        <f t="shared" si="16"/>
        <v>0</v>
      </c>
      <c r="P51" s="42">
        <f t="shared" si="17"/>
        <v>-9.9999999999997868E-3</v>
      </c>
      <c r="R51" t="s">
        <v>430</v>
      </c>
      <c r="S51">
        <v>5.7</v>
      </c>
      <c r="U51" t="s">
        <v>430</v>
      </c>
      <c r="V51">
        <v>5.69</v>
      </c>
    </row>
    <row r="52" spans="1:22" x14ac:dyDescent="0.2">
      <c r="A52" s="232" t="s">
        <v>58</v>
      </c>
      <c r="B52" s="22" t="s">
        <v>343</v>
      </c>
      <c r="C52" s="233">
        <v>4</v>
      </c>
      <c r="D52" s="20">
        <v>0</v>
      </c>
      <c r="E52" s="20">
        <v>0</v>
      </c>
      <c r="F52" s="21">
        <v>0</v>
      </c>
      <c r="G52" s="45" t="s">
        <v>383</v>
      </c>
      <c r="H52" s="234">
        <v>0.01</v>
      </c>
      <c r="I52" s="234">
        <v>-0.02</v>
      </c>
      <c r="J52" s="235">
        <f>I52-H52</f>
        <v>-0.03</v>
      </c>
      <c r="K52" s="292" t="s">
        <v>381</v>
      </c>
      <c r="M52" s="57" t="s">
        <v>58</v>
      </c>
      <c r="N52" s="58" t="s">
        <v>382</v>
      </c>
      <c r="O52" s="240">
        <f t="shared" si="16"/>
        <v>0</v>
      </c>
      <c r="P52" s="42">
        <f>J52</f>
        <v>-0.03</v>
      </c>
      <c r="R52" t="s">
        <v>431</v>
      </c>
      <c r="S52">
        <v>0.01</v>
      </c>
      <c r="U52" t="s">
        <v>431</v>
      </c>
      <c r="V52">
        <v>-0.02</v>
      </c>
    </row>
    <row r="53" spans="1:22" ht="17" thickBot="1" x14ac:dyDescent="0.25">
      <c r="A53" s="25" t="s">
        <v>59</v>
      </c>
      <c r="B53" s="48" t="s">
        <v>354</v>
      </c>
      <c r="C53" s="27">
        <v>4</v>
      </c>
      <c r="D53" s="29">
        <v>0.99</v>
      </c>
      <c r="E53" s="29">
        <v>0.89</v>
      </c>
      <c r="F53" s="28">
        <v>-0.1</v>
      </c>
      <c r="G53" s="30" t="s">
        <v>383</v>
      </c>
      <c r="H53" s="34">
        <v>2.54</v>
      </c>
      <c r="I53" s="34">
        <v>3.41</v>
      </c>
      <c r="J53" s="35">
        <f>I53-H53</f>
        <v>0.87000000000000011</v>
      </c>
      <c r="K53" s="245" t="s">
        <v>381</v>
      </c>
      <c r="M53" s="57" t="s">
        <v>59</v>
      </c>
      <c r="N53" s="58" t="s">
        <v>382</v>
      </c>
      <c r="O53" s="29">
        <f>E53</f>
        <v>0.89</v>
      </c>
      <c r="P53" s="35">
        <f>J53</f>
        <v>0.87000000000000011</v>
      </c>
      <c r="R53" t="s">
        <v>432</v>
      </c>
      <c r="S53">
        <v>2.54</v>
      </c>
      <c r="U53" t="s">
        <v>432</v>
      </c>
      <c r="V53">
        <v>3.41</v>
      </c>
    </row>
    <row r="54" spans="1:22" ht="17" thickTop="1" x14ac:dyDescent="0.2">
      <c r="A54" s="49"/>
      <c r="B54" s="49"/>
      <c r="C54" s="49"/>
      <c r="D54" s="49"/>
      <c r="E54" s="49"/>
      <c r="F54" s="14">
        <v>28</v>
      </c>
      <c r="G54" s="49"/>
      <c r="H54" s="10"/>
      <c r="I54" s="10"/>
      <c r="J54" s="10"/>
      <c r="M54" s="10"/>
      <c r="N54" s="10"/>
      <c r="O54" s="49"/>
      <c r="P54" s="10"/>
    </row>
    <row r="55" spans="1:22" x14ac:dyDescent="0.2">
      <c r="M55" s="10"/>
      <c r="N55" s="10"/>
    </row>
    <row r="56" spans="1:22" x14ac:dyDescent="0.2">
      <c r="M56" s="10"/>
      <c r="N56" s="10"/>
    </row>
    <row r="57" spans="1:22" x14ac:dyDescent="0.2">
      <c r="M57" s="10"/>
      <c r="N57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PWD</vt:lpstr>
      <vt:lpstr>SI.1 peptide</vt:lpstr>
      <vt:lpstr>SI.2 Capped</vt:lpstr>
      <vt:lpstr>SI.3.Conf</vt:lpstr>
      <vt:lpstr>SI.3.Conf + 9missing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Marilyn Gunner</dc:creator>
  <cp:keywords/>
  <dc:description/>
  <cp:lastModifiedBy>Gehan Ranepura</cp:lastModifiedBy>
  <cp:revision/>
  <dcterms:created xsi:type="dcterms:W3CDTF">2025-12-31T21:18:15Z</dcterms:created>
  <dcterms:modified xsi:type="dcterms:W3CDTF">2026-06-08T19:55:50Z</dcterms:modified>
  <cp:category/>
  <cp:contentStatus/>
</cp:coreProperties>
</file>