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Trial Data" sheetId="1" state="visible" r:id="rId1"/>
    <sheet xmlns:r="http://schemas.openxmlformats.org/officeDocument/2006/relationships" name="Table 1 (Trials)" sheetId="2" state="visible" r:id="rId2"/>
    <sheet xmlns:r="http://schemas.openxmlformats.org/officeDocument/2006/relationships" name="Methods" sheetId="3" state="visible" r:id="rId3"/>
    <sheet xmlns:r="http://schemas.openxmlformats.org/officeDocument/2006/relationships" name="Outliers (holo-apo)" sheetId="4" state="visible" r:id="rId4"/>
    <sheet xmlns:r="http://schemas.openxmlformats.org/officeDocument/2006/relationships" name="Reproducibi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  <font>
      <name val="Arial"/>
      <i val="1"/>
      <sz val="1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2" fillId="0" borderId="0" pivotButton="0" quotePrefix="0" xfId="0"/>
    <xf numFmtId="2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/>
      <c r="B1" s="1" t="inlineStr"/>
      <c r="C1" s="1" t="inlineStr"/>
      <c r="D1" s="1" t="inlineStr">
        <is>
          <t>Ligand #conf</t>
        </is>
      </c>
      <c r="G1" s="1" t="inlineStr">
        <is>
          <t>Ligand crg soln</t>
        </is>
      </c>
      <c r="J1" s="1" t="inlineStr">
        <is>
          <t>Ligand crg bound</t>
        </is>
      </c>
      <c r="M1" s="1" t="inlineStr">
        <is>
          <t>Apo-kinase charge</t>
        </is>
      </c>
      <c r="P1" s="1" t="inlineStr">
        <is>
          <t>Holo-kinase charge</t>
        </is>
      </c>
    </row>
    <row r="2">
      <c r="A2" s="2" t="inlineStr">
        <is>
          <t>PDBID</t>
        </is>
      </c>
      <c r="B2" s="2" t="inlineStr">
        <is>
          <t>Ligand</t>
        </is>
      </c>
      <c r="C2" s="2" t="inlineStr">
        <is>
          <t>Kinase</t>
        </is>
      </c>
      <c r="D2" s="2" t="inlineStr">
        <is>
          <t>T01</t>
        </is>
      </c>
      <c r="E2" s="2" t="inlineStr">
        <is>
          <t>T02</t>
        </is>
      </c>
      <c r="F2" s="2" t="inlineStr">
        <is>
          <t>T03</t>
        </is>
      </c>
      <c r="G2" s="2" t="inlineStr">
        <is>
          <t>T01</t>
        </is>
      </c>
      <c r="H2" s="2" t="inlineStr">
        <is>
          <t>T02</t>
        </is>
      </c>
      <c r="I2" s="2" t="inlineStr">
        <is>
          <t>T03</t>
        </is>
      </c>
      <c r="J2" s="2" t="inlineStr">
        <is>
          <t>T01</t>
        </is>
      </c>
      <c r="K2" s="2" t="inlineStr">
        <is>
          <t>T02</t>
        </is>
      </c>
      <c r="L2" s="2" t="inlineStr">
        <is>
          <t>T03</t>
        </is>
      </c>
      <c r="M2" s="2" t="inlineStr">
        <is>
          <t>T01</t>
        </is>
      </c>
      <c r="N2" s="2" t="inlineStr">
        <is>
          <t>T02</t>
        </is>
      </c>
      <c r="O2" s="2" t="inlineStr">
        <is>
          <t>T03</t>
        </is>
      </c>
      <c r="P2" s="2" t="inlineStr">
        <is>
          <t>T01</t>
        </is>
      </c>
      <c r="Q2" s="2" t="inlineStr">
        <is>
          <t>T02</t>
        </is>
      </c>
      <c r="R2" s="2" t="inlineStr">
        <is>
          <t>T03</t>
        </is>
      </c>
    </row>
    <row r="3">
      <c r="A3" s="3" t="inlineStr">
        <is>
          <t>1XKK</t>
        </is>
      </c>
      <c r="B3" s="3" t="inlineStr">
        <is>
          <t>Lapatinib</t>
        </is>
      </c>
      <c r="C3" s="3" t="inlineStr">
        <is>
          <t>EGFR</t>
        </is>
      </c>
      <c r="D3" s="3" t="n">
        <v>4</v>
      </c>
      <c r="E3" s="3" t="n">
        <v>5</v>
      </c>
      <c r="F3" s="3" t="n">
        <v>4</v>
      </c>
      <c r="G3" s="4" t="n">
        <v>0.95</v>
      </c>
      <c r="H3" s="4" t="n">
        <v>0.95</v>
      </c>
      <c r="I3" s="4" t="n">
        <v>0.95</v>
      </c>
      <c r="J3" s="4" t="n">
        <v>0.52</v>
      </c>
      <c r="K3" s="4" t="n">
        <v>0.52</v>
      </c>
      <c r="L3" s="4" t="n">
        <v>0.53</v>
      </c>
      <c r="M3" s="4" t="n">
        <v>0.5</v>
      </c>
      <c r="N3" s="4" t="n">
        <v>0.54</v>
      </c>
      <c r="O3" s="4" t="n">
        <v>0.51</v>
      </c>
      <c r="P3" s="4" t="n">
        <v>0.68</v>
      </c>
      <c r="Q3" s="4" t="n">
        <v>0.75</v>
      </c>
      <c r="R3" s="4" t="n">
        <v>0.67</v>
      </c>
    </row>
    <row r="4">
      <c r="A4" s="3" t="inlineStr">
        <is>
          <t>2EUF</t>
        </is>
      </c>
      <c r="B4" s="3" t="inlineStr">
        <is>
          <t>Palbociclib</t>
        </is>
      </c>
      <c r="C4" s="3" t="inlineStr">
        <is>
          <t>CDK6</t>
        </is>
      </c>
      <c r="D4" s="3" t="n">
        <v>2</v>
      </c>
      <c r="E4" s="3" t="n">
        <v>2</v>
      </c>
      <c r="F4" s="3" t="n">
        <v>2</v>
      </c>
      <c r="G4" s="4" t="n">
        <v>0.98</v>
      </c>
      <c r="H4" s="4" t="n">
        <v>0.98</v>
      </c>
      <c r="I4" s="4" t="n">
        <v>0.98</v>
      </c>
      <c r="J4" s="4" t="n">
        <v>1</v>
      </c>
      <c r="K4" s="4" t="n">
        <v>1</v>
      </c>
      <c r="L4" s="4" t="n">
        <v>1</v>
      </c>
      <c r="M4" s="4" t="n">
        <v>-8.869999999999999</v>
      </c>
      <c r="N4" s="4" t="n">
        <v>-9.279999999999999</v>
      </c>
      <c r="O4" s="4" t="n">
        <v>-9.75</v>
      </c>
      <c r="P4" s="4" t="n">
        <v>-8.52</v>
      </c>
      <c r="Q4" s="4" t="n">
        <v>-8.470000000000001</v>
      </c>
      <c r="R4" s="4" t="n">
        <v>-8.93</v>
      </c>
    </row>
    <row r="5">
      <c r="A5" s="3" t="inlineStr">
        <is>
          <t>2HYY</t>
        </is>
      </c>
      <c r="B5" s="3" t="inlineStr">
        <is>
          <t>Imatinib</t>
        </is>
      </c>
      <c r="C5" s="3" t="inlineStr">
        <is>
          <t>ABL</t>
        </is>
      </c>
      <c r="D5" s="3" t="n">
        <v>5</v>
      </c>
      <c r="E5" s="3" t="n">
        <v>5</v>
      </c>
      <c r="F5" s="3" t="n">
        <v>5</v>
      </c>
      <c r="G5" s="4" t="n">
        <v>0.97</v>
      </c>
      <c r="H5" s="4" t="n">
        <v>0.97</v>
      </c>
      <c r="I5" s="4" t="n">
        <v>0.97</v>
      </c>
      <c r="J5" s="4" t="n">
        <v>1</v>
      </c>
      <c r="K5" s="4" t="n">
        <v>1</v>
      </c>
      <c r="L5" s="4" t="n">
        <v>1</v>
      </c>
      <c r="M5" s="4" t="n">
        <v>-6.16</v>
      </c>
      <c r="N5" s="4" t="n">
        <v>-6.17</v>
      </c>
      <c r="O5" s="4" t="n">
        <v>-6.19</v>
      </c>
      <c r="P5" s="4" t="n">
        <v>-5.35</v>
      </c>
      <c r="Q5" s="4" t="n">
        <v>-5.39</v>
      </c>
      <c r="R5" s="4" t="n">
        <v>-5.38</v>
      </c>
    </row>
    <row r="6">
      <c r="A6" s="3" t="inlineStr">
        <is>
          <t>2ITO</t>
        </is>
      </c>
      <c r="B6" s="3" t="inlineStr">
        <is>
          <t>Gefitinib</t>
        </is>
      </c>
      <c r="C6" s="3" t="inlineStr">
        <is>
          <t>EGFR</t>
        </is>
      </c>
      <c r="D6" s="3" t="n">
        <v>5</v>
      </c>
      <c r="E6" s="3" t="n">
        <v>5</v>
      </c>
      <c r="F6" s="3" t="n">
        <v>5</v>
      </c>
      <c r="G6" s="4" t="n">
        <v>0.3</v>
      </c>
      <c r="H6" s="4" t="n">
        <v>0.3</v>
      </c>
      <c r="I6" s="4" t="n">
        <v>0.3</v>
      </c>
      <c r="J6" s="4" t="n">
        <v>0.72</v>
      </c>
      <c r="K6" s="4" t="n">
        <v>0.77</v>
      </c>
      <c r="L6" s="4" t="n">
        <v>0.8</v>
      </c>
      <c r="M6" s="4" t="n">
        <v>-7.14</v>
      </c>
      <c r="N6" s="4" t="n">
        <v>-7.04</v>
      </c>
      <c r="O6" s="4" t="n">
        <v>-7.1</v>
      </c>
      <c r="P6" s="4" t="n">
        <v>-6.57</v>
      </c>
      <c r="Q6" s="4" t="n">
        <v>-6.45</v>
      </c>
      <c r="R6" s="4" t="n">
        <v>-6.52</v>
      </c>
    </row>
    <row r="7">
      <c r="A7" s="3" t="inlineStr">
        <is>
          <t>2ITY</t>
        </is>
      </c>
      <c r="B7" s="3" t="inlineStr">
        <is>
          <t>Gefitinib</t>
        </is>
      </c>
      <c r="C7" s="3" t="inlineStr">
        <is>
          <t>EGFR</t>
        </is>
      </c>
      <c r="D7" s="3" t="n">
        <v>5</v>
      </c>
      <c r="E7" s="3" t="n">
        <v>5</v>
      </c>
      <c r="F7" s="3" t="n">
        <v>5</v>
      </c>
      <c r="G7" s="4" t="n">
        <v>0.3</v>
      </c>
      <c r="H7" s="4" t="n">
        <v>0.3</v>
      </c>
      <c r="I7" s="4" t="n">
        <v>0.3</v>
      </c>
      <c r="J7" s="4" t="n">
        <v>0.3</v>
      </c>
      <c r="K7" s="4" t="n">
        <v>0.34</v>
      </c>
      <c r="L7" s="4" t="n">
        <v>0.35</v>
      </c>
      <c r="M7" s="4" t="n">
        <v>-6.04</v>
      </c>
      <c r="N7" s="4" t="n">
        <v>-5.91</v>
      </c>
      <c r="O7" s="4" t="n">
        <v>-6.03</v>
      </c>
      <c r="P7" s="4" t="n">
        <v>-5.79</v>
      </c>
      <c r="Q7" s="4" t="n">
        <v>-5.6</v>
      </c>
      <c r="R7" s="4" t="n">
        <v>-5.77</v>
      </c>
    </row>
    <row r="8">
      <c r="A8" s="3" t="inlineStr">
        <is>
          <t>2ITZ</t>
        </is>
      </c>
      <c r="B8" s="3" t="inlineStr">
        <is>
          <t>Gefitinib</t>
        </is>
      </c>
      <c r="C8" s="3" t="inlineStr">
        <is>
          <t>EGFR</t>
        </is>
      </c>
      <c r="D8" s="3" t="n">
        <v>5</v>
      </c>
      <c r="E8" s="3" t="n">
        <v>5</v>
      </c>
      <c r="F8" s="3" t="n">
        <v>5</v>
      </c>
      <c r="G8" s="4" t="n">
        <v>0.3</v>
      </c>
      <c r="H8" s="4" t="n">
        <v>0.3</v>
      </c>
      <c r="I8" s="4" t="n">
        <v>0.3</v>
      </c>
      <c r="J8" s="4" t="n">
        <v>0.64</v>
      </c>
      <c r="K8" s="4" t="n">
        <v>0.64</v>
      </c>
      <c r="L8" s="4" t="n">
        <v>0.66</v>
      </c>
      <c r="M8" s="4" t="n">
        <v>-4.78</v>
      </c>
      <c r="N8" s="4" t="n">
        <v>-4.77</v>
      </c>
      <c r="O8" s="4" t="n">
        <v>-4.95</v>
      </c>
      <c r="P8" s="4" t="n">
        <v>-4.25</v>
      </c>
      <c r="Q8" s="4" t="n">
        <v>-4.23</v>
      </c>
      <c r="R8" s="4" t="n">
        <v>-4.38</v>
      </c>
    </row>
    <row r="9">
      <c r="A9" s="3" t="inlineStr">
        <is>
          <t>2WGJ</t>
        </is>
      </c>
      <c r="B9" s="3" t="inlineStr">
        <is>
          <t>Crizotinib</t>
        </is>
      </c>
      <c r="C9" s="3" t="inlineStr">
        <is>
          <t>MET</t>
        </is>
      </c>
      <c r="D9" s="3" t="n">
        <v>5</v>
      </c>
      <c r="E9" s="3" t="n">
        <v>4</v>
      </c>
      <c r="F9" s="3" t="n">
        <v>4</v>
      </c>
      <c r="G9" s="4" t="n">
        <v>1.61</v>
      </c>
      <c r="H9" s="4" t="n">
        <v>1.61</v>
      </c>
      <c r="I9" s="4" t="n">
        <v>1.61</v>
      </c>
      <c r="J9" s="4" t="n">
        <v>0.98</v>
      </c>
      <c r="K9" s="4" t="n">
        <v>0.97</v>
      </c>
      <c r="L9" s="4" t="n">
        <v>0.97</v>
      </c>
      <c r="M9" s="4" t="n">
        <v>6.97</v>
      </c>
      <c r="N9" s="4" t="n">
        <v>6.96</v>
      </c>
      <c r="O9" s="4" t="n">
        <v>7.05</v>
      </c>
      <c r="P9" s="4" t="n">
        <v>7.72</v>
      </c>
      <c r="Q9" s="4" t="n">
        <v>7.71</v>
      </c>
      <c r="R9" s="4" t="n">
        <v>7.78</v>
      </c>
    </row>
    <row r="10">
      <c r="A10" s="3" t="inlineStr">
        <is>
          <t>2XP2</t>
        </is>
      </c>
      <c r="B10" s="3" t="inlineStr">
        <is>
          <t>Crizotinib</t>
        </is>
      </c>
      <c r="C10" s="3" t="inlineStr">
        <is>
          <t>ALK</t>
        </is>
      </c>
      <c r="D10" s="3" t="n">
        <v>4</v>
      </c>
      <c r="E10" s="3" t="n">
        <v>4</v>
      </c>
      <c r="F10" s="3" t="n">
        <v>4</v>
      </c>
      <c r="G10" s="4" t="n">
        <v>1.61</v>
      </c>
      <c r="H10" s="4" t="n">
        <v>1.61</v>
      </c>
      <c r="I10" s="4" t="n">
        <v>1.61</v>
      </c>
      <c r="J10" s="4" t="n">
        <v>1</v>
      </c>
      <c r="K10" s="4" t="n">
        <v>1</v>
      </c>
      <c r="L10" s="4" t="n">
        <v>1</v>
      </c>
      <c r="M10" s="4" t="n">
        <v>-5.9</v>
      </c>
      <c r="N10" s="4" t="n">
        <v>-5.91</v>
      </c>
      <c r="O10" s="4" t="n">
        <v>-5.92</v>
      </c>
      <c r="P10" s="4" t="n">
        <v>-4.97</v>
      </c>
      <c r="Q10" s="4" t="n">
        <v>-5</v>
      </c>
      <c r="R10" s="4" t="n">
        <v>-4.99</v>
      </c>
    </row>
    <row r="11">
      <c r="A11" s="3" t="inlineStr">
        <is>
          <t>2YFX</t>
        </is>
      </c>
      <c r="B11" s="3" t="inlineStr">
        <is>
          <t>Crizotinib</t>
        </is>
      </c>
      <c r="C11" s="3" t="inlineStr">
        <is>
          <t>ALK</t>
        </is>
      </c>
      <c r="D11" s="3" t="n">
        <v>5</v>
      </c>
      <c r="E11" s="3" t="n">
        <v>4</v>
      </c>
      <c r="F11" s="3" t="n">
        <v>4</v>
      </c>
      <c r="G11" s="4" t="n">
        <v>1.61</v>
      </c>
      <c r="H11" s="4" t="n">
        <v>1.61</v>
      </c>
      <c r="I11" s="4" t="n">
        <v>1.61</v>
      </c>
      <c r="J11" s="4" t="n">
        <v>1</v>
      </c>
      <c r="K11" s="4" t="n">
        <v>1</v>
      </c>
      <c r="L11" s="4" t="n">
        <v>1</v>
      </c>
      <c r="M11" s="4" t="n">
        <v>-4.66</v>
      </c>
      <c r="N11" s="4" t="n">
        <v>-4.63</v>
      </c>
      <c r="O11" s="4" t="n">
        <v>-4.59</v>
      </c>
      <c r="P11" s="4" t="n">
        <v>-3.64</v>
      </c>
      <c r="Q11" s="4" t="n">
        <v>-3.67</v>
      </c>
      <c r="R11" s="4" t="n">
        <v>-3.61</v>
      </c>
    </row>
    <row r="12">
      <c r="A12" s="3" t="inlineStr">
        <is>
          <t>3AOX</t>
        </is>
      </c>
      <c r="B12" s="3" t="inlineStr">
        <is>
          <t>Alectinib</t>
        </is>
      </c>
      <c r="C12" s="3" t="inlineStr">
        <is>
          <t>ALK</t>
        </is>
      </c>
      <c r="D12" s="3" t="n">
        <v>2</v>
      </c>
      <c r="E12" s="3" t="n">
        <v>2</v>
      </c>
      <c r="F12" s="3" t="n">
        <v>3</v>
      </c>
      <c r="G12" s="4" t="n">
        <v>0.5600000000000001</v>
      </c>
      <c r="H12" s="4" t="n">
        <v>0.5600000000000001</v>
      </c>
      <c r="I12" s="4" t="n">
        <v>0.5600000000000001</v>
      </c>
      <c r="J12" s="4" t="n">
        <v>0.9</v>
      </c>
      <c r="K12" s="4" t="n">
        <v>0.79</v>
      </c>
      <c r="L12" s="4" t="n">
        <v>0.79</v>
      </c>
      <c r="M12" s="4" t="n">
        <v>-8.380000000000001</v>
      </c>
      <c r="N12" s="4" t="n">
        <v>-8.449999999999999</v>
      </c>
      <c r="O12" s="4" t="n">
        <v>-8.359999999999999</v>
      </c>
      <c r="P12" s="4" t="n">
        <v>-7.5</v>
      </c>
      <c r="Q12" s="4" t="n">
        <v>-7.68</v>
      </c>
      <c r="R12" s="4" t="n">
        <v>-7.63</v>
      </c>
    </row>
    <row r="13">
      <c r="A13" s="3" t="inlineStr">
        <is>
          <t>3CS9</t>
        </is>
      </c>
      <c r="B13" s="3" t="inlineStr">
        <is>
          <t>Nilotinib</t>
        </is>
      </c>
      <c r="C13" s="3" t="inlineStr">
        <is>
          <t>ABL</t>
        </is>
      </c>
      <c r="D13" s="3" t="n">
        <v>3</v>
      </c>
      <c r="E13" s="3" t="n">
        <v>3</v>
      </c>
      <c r="F13" s="3" t="n">
        <v>4</v>
      </c>
      <c r="G13" s="4" t="n">
        <v>0.09</v>
      </c>
      <c r="H13" s="4" t="n">
        <v>0.09</v>
      </c>
      <c r="I13" s="4" t="n">
        <v>0.09</v>
      </c>
      <c r="J13" s="4" t="n">
        <v>0.17</v>
      </c>
      <c r="K13" s="4" t="n">
        <v>0.61</v>
      </c>
      <c r="L13" s="4" t="n">
        <v>0.19</v>
      </c>
      <c r="M13" s="4" t="n">
        <v>-4.58</v>
      </c>
      <c r="N13" s="4" t="n">
        <v>-4.6</v>
      </c>
      <c r="O13" s="4" t="n">
        <v>-4.61</v>
      </c>
      <c r="P13" s="4" t="n">
        <v>-4.39</v>
      </c>
      <c r="Q13" s="4" t="n">
        <v>-4.03</v>
      </c>
      <c r="R13" s="4" t="n">
        <v>-4.42</v>
      </c>
    </row>
    <row r="14">
      <c r="A14" s="3" t="inlineStr">
        <is>
          <t>3LXK</t>
        </is>
      </c>
      <c r="B14" s="3" t="inlineStr">
        <is>
          <t>Tofacitinib</t>
        </is>
      </c>
      <c r="C14" s="3" t="inlineStr">
        <is>
          <t>JAK3</t>
        </is>
      </c>
      <c r="D14" s="3" t="n">
        <v>5</v>
      </c>
      <c r="E14" s="3" t="n">
        <v>5</v>
      </c>
      <c r="F14" s="3" t="n">
        <v>5</v>
      </c>
      <c r="G14" s="4" t="n">
        <v>0.03</v>
      </c>
      <c r="H14" s="4" t="n">
        <v>0.03</v>
      </c>
      <c r="I14" s="4" t="n">
        <v>0.03</v>
      </c>
      <c r="J14" s="4" t="n">
        <v>0.03</v>
      </c>
      <c r="K14" s="4" t="n">
        <v>0.07000000000000001</v>
      </c>
      <c r="L14" s="4" t="n">
        <v>0.05</v>
      </c>
      <c r="M14" s="4" t="n">
        <v>1.1</v>
      </c>
      <c r="N14" s="4" t="n">
        <v>1.26</v>
      </c>
      <c r="O14" s="4" t="n">
        <v>1.1</v>
      </c>
      <c r="P14" s="4" t="n">
        <v>1.23</v>
      </c>
      <c r="Q14" s="4" t="n">
        <v>1.39</v>
      </c>
      <c r="R14" s="4" t="n">
        <v>1.22</v>
      </c>
    </row>
    <row r="15">
      <c r="A15" s="3" t="inlineStr">
        <is>
          <t>3PYY</t>
        </is>
      </c>
      <c r="B15" s="3" t="inlineStr">
        <is>
          <t>Imatinib</t>
        </is>
      </c>
      <c r="C15" s="3" t="inlineStr">
        <is>
          <t>ABL</t>
        </is>
      </c>
      <c r="D15" s="3" t="n">
        <v>5</v>
      </c>
      <c r="E15" s="3" t="n">
        <v>5</v>
      </c>
      <c r="F15" s="3" t="n">
        <v>5</v>
      </c>
      <c r="G15" s="4" t="n">
        <v>0.97</v>
      </c>
      <c r="H15" s="4" t="n">
        <v>0.97</v>
      </c>
      <c r="I15" s="4" t="n">
        <v>0.97</v>
      </c>
      <c r="J15" s="4" t="n">
        <v>1</v>
      </c>
      <c r="K15" s="4" t="n">
        <v>1</v>
      </c>
      <c r="L15" s="4" t="n">
        <v>1</v>
      </c>
      <c r="M15" s="4" t="n">
        <v>-4.8</v>
      </c>
      <c r="N15" s="4" t="n">
        <v>-4.83</v>
      </c>
      <c r="O15" s="4" t="n">
        <v>-4.81</v>
      </c>
      <c r="P15" s="4" t="n">
        <v>-3.86</v>
      </c>
      <c r="Q15" s="4" t="n">
        <v>-3.88</v>
      </c>
      <c r="R15" s="4" t="n">
        <v>-3.86</v>
      </c>
    </row>
    <row r="16">
      <c r="A16" s="3" t="inlineStr">
        <is>
          <t>3UE4</t>
        </is>
      </c>
      <c r="B16" s="3" t="inlineStr">
        <is>
          <t>Bosutinib</t>
        </is>
      </c>
      <c r="C16" s="3" t="inlineStr">
        <is>
          <t>ABL</t>
        </is>
      </c>
      <c r="D16" s="3" t="n">
        <v>4</v>
      </c>
      <c r="E16" s="3" t="n">
        <v>4</v>
      </c>
      <c r="F16" s="3" t="n">
        <v>4</v>
      </c>
      <c r="G16" s="4" t="n">
        <v>0.9399999999999999</v>
      </c>
      <c r="H16" s="4" t="n">
        <v>0.9399999999999999</v>
      </c>
      <c r="I16" s="4" t="n">
        <v>0.9399999999999999</v>
      </c>
      <c r="J16" s="4" t="n">
        <v>0.96</v>
      </c>
      <c r="K16" s="4" t="n">
        <v>0.96</v>
      </c>
      <c r="L16" s="4" t="n">
        <v>0.95</v>
      </c>
      <c r="M16" s="4" t="n">
        <v>-4.6</v>
      </c>
      <c r="N16" s="4" t="n">
        <v>-4.6</v>
      </c>
      <c r="O16" s="4" t="n">
        <v>-4.52</v>
      </c>
      <c r="P16" s="4" t="n">
        <v>-3.93</v>
      </c>
      <c r="Q16" s="4" t="n">
        <v>-3.97</v>
      </c>
      <c r="R16" s="4" t="n">
        <v>-3.88</v>
      </c>
    </row>
    <row r="17">
      <c r="A17" s="3" t="inlineStr">
        <is>
          <t>3UG2</t>
        </is>
      </c>
      <c r="B17" s="3" t="inlineStr">
        <is>
          <t>Gefitinib</t>
        </is>
      </c>
      <c r="C17" s="3" t="inlineStr">
        <is>
          <t>EGFR</t>
        </is>
      </c>
      <c r="D17" s="3" t="n">
        <v>5</v>
      </c>
      <c r="E17" s="3" t="n">
        <v>5</v>
      </c>
      <c r="F17" s="3" t="n">
        <v>5</v>
      </c>
      <c r="G17" s="4" t="n">
        <v>0.3</v>
      </c>
      <c r="H17" s="4" t="n">
        <v>0.3</v>
      </c>
      <c r="I17" s="4" t="n">
        <v>0.3</v>
      </c>
      <c r="J17" s="4" t="n">
        <v>0.02</v>
      </c>
      <c r="K17" s="4" t="n">
        <v>0.01</v>
      </c>
      <c r="L17" s="4" t="n">
        <v>0.01</v>
      </c>
      <c r="M17" s="4" t="n">
        <v>-3.01</v>
      </c>
      <c r="N17" s="4" t="n">
        <v>-3.01</v>
      </c>
      <c r="O17" s="4" t="n">
        <v>-3.01</v>
      </c>
      <c r="P17" s="4" t="n">
        <v>-2.95</v>
      </c>
      <c r="Q17" s="4" t="n">
        <v>-2.96</v>
      </c>
      <c r="R17" s="4" t="n">
        <v>-2.92</v>
      </c>
    </row>
    <row r="18">
      <c r="A18" s="3" t="inlineStr">
        <is>
          <t>3WZD</t>
        </is>
      </c>
      <c r="B18" s="3" t="inlineStr">
        <is>
          <t>Lenvatinib</t>
        </is>
      </c>
      <c r="C18" s="3" t="inlineStr">
        <is>
          <t>VGFR</t>
        </is>
      </c>
      <c r="D18" s="3" t="n">
        <v>3</v>
      </c>
      <c r="E18" s="3" t="n">
        <v>3</v>
      </c>
      <c r="F18" s="3" t="n">
        <v>3</v>
      </c>
      <c r="G18" s="4" t="n">
        <v>-0</v>
      </c>
      <c r="H18" s="4" t="n">
        <v>-0</v>
      </c>
      <c r="I18" s="4" t="n">
        <v>-0</v>
      </c>
      <c r="J18" s="4" t="n">
        <v>-0</v>
      </c>
      <c r="K18" s="4" t="n">
        <v>-0</v>
      </c>
      <c r="L18" s="4" t="n">
        <v>-0</v>
      </c>
      <c r="M18" s="4" t="n">
        <v>1.51</v>
      </c>
      <c r="N18" s="4" t="n">
        <v>1.52</v>
      </c>
      <c r="O18" s="4" t="n">
        <v>1.53</v>
      </c>
      <c r="P18" s="4" t="n">
        <v>1.54</v>
      </c>
      <c r="Q18" s="4" t="n">
        <v>1.55</v>
      </c>
      <c r="R18" s="4" t="n">
        <v>1.54</v>
      </c>
    </row>
    <row r="19">
      <c r="A19" s="3" t="inlineStr">
        <is>
          <t>3WZE</t>
        </is>
      </c>
      <c r="B19" s="3" t="inlineStr">
        <is>
          <t>Sorafenib</t>
        </is>
      </c>
      <c r="C19" s="3" t="inlineStr">
        <is>
          <t>VGFR</t>
        </is>
      </c>
      <c r="D19" s="3" t="n">
        <v>4</v>
      </c>
      <c r="E19" s="3" t="n">
        <v>4</v>
      </c>
      <c r="F19" s="3" t="n">
        <v>4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5.4</v>
      </c>
      <c r="N19" s="4" t="n">
        <v>5.36</v>
      </c>
      <c r="O19" s="4" t="n">
        <v>5.51</v>
      </c>
      <c r="P19" s="4" t="n">
        <v>5.4</v>
      </c>
      <c r="Q19" s="4" t="n">
        <v>5.35</v>
      </c>
      <c r="R19" s="4" t="n">
        <v>5.5</v>
      </c>
    </row>
    <row r="20">
      <c r="A20" s="3" t="inlineStr">
        <is>
          <t>3ZOS</t>
        </is>
      </c>
      <c r="B20" s="3" t="inlineStr">
        <is>
          <t>Ponatinib</t>
        </is>
      </c>
      <c r="C20" s="3" t="inlineStr">
        <is>
          <t>DDR1</t>
        </is>
      </c>
      <c r="D20" s="3" t="n">
        <v>6</v>
      </c>
      <c r="E20" s="3" t="n">
        <v>6</v>
      </c>
      <c r="F20" s="3" t="n">
        <v>7</v>
      </c>
      <c r="G20" s="4" t="n">
        <v>0.96</v>
      </c>
      <c r="H20" s="4" t="n">
        <v>0.96</v>
      </c>
      <c r="I20" s="4" t="n">
        <v>0.96</v>
      </c>
      <c r="J20" s="4" t="n">
        <v>1</v>
      </c>
      <c r="K20" s="4" t="n">
        <v>1</v>
      </c>
      <c r="L20" s="4" t="n">
        <v>1</v>
      </c>
      <c r="M20" s="4" t="n">
        <v>-1.63</v>
      </c>
      <c r="N20" s="4" t="n">
        <v>-1.67</v>
      </c>
      <c r="O20" s="4" t="n">
        <v>-1.66</v>
      </c>
      <c r="P20" s="4" t="n">
        <v>0.22</v>
      </c>
      <c r="Q20" s="4" t="n">
        <v>0.19</v>
      </c>
      <c r="R20" s="4" t="n">
        <v>0.19</v>
      </c>
    </row>
    <row r="21">
      <c r="A21" s="3" t="inlineStr">
        <is>
          <t>4AG8</t>
        </is>
      </c>
      <c r="B21" s="3" t="inlineStr">
        <is>
          <t>Axitinib</t>
        </is>
      </c>
      <c r="C21" s="3" t="inlineStr">
        <is>
          <t>VGFR</t>
        </is>
      </c>
      <c r="D21" s="3" t="n">
        <v>4</v>
      </c>
      <c r="E21" s="3" t="n">
        <v>3</v>
      </c>
      <c r="F21" s="3" t="n">
        <v>3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4.69</v>
      </c>
      <c r="N21" s="4" t="n">
        <v>4.54</v>
      </c>
      <c r="O21" s="4" t="n">
        <v>4.58</v>
      </c>
      <c r="P21" s="4" t="n">
        <v>4.7</v>
      </c>
      <c r="Q21" s="4" t="n">
        <v>4.55</v>
      </c>
      <c r="R21" s="4" t="n">
        <v>4.62</v>
      </c>
    </row>
    <row r="22">
      <c r="A22" s="3" t="inlineStr">
        <is>
          <t>4AGC</t>
        </is>
      </c>
      <c r="B22" s="3" t="inlineStr">
        <is>
          <t>Axitinib</t>
        </is>
      </c>
      <c r="C22" s="3" t="inlineStr">
        <is>
          <t>VGFR</t>
        </is>
      </c>
      <c r="D22" s="3" t="n">
        <v>3</v>
      </c>
      <c r="E22" s="3" t="n">
        <v>3</v>
      </c>
      <c r="F22" s="3" t="n">
        <v>3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3.53</v>
      </c>
      <c r="N22" s="4" t="n">
        <v>3.53</v>
      </c>
      <c r="O22" s="4" t="n">
        <v>3.5</v>
      </c>
      <c r="P22" s="4" t="n">
        <v>3.55</v>
      </c>
      <c r="Q22" s="4" t="n">
        <v>3.52</v>
      </c>
      <c r="R22" s="4" t="n">
        <v>3.5</v>
      </c>
    </row>
    <row r="23">
      <c r="A23" s="3" t="inlineStr">
        <is>
          <t>4AGD</t>
        </is>
      </c>
      <c r="B23" s="3" t="inlineStr">
        <is>
          <t>Sunitinib</t>
        </is>
      </c>
      <c r="C23" s="3" t="inlineStr">
        <is>
          <t>VGFR</t>
        </is>
      </c>
      <c r="D23" s="3" t="n">
        <v>4</v>
      </c>
      <c r="E23" s="3" t="n">
        <v>5</v>
      </c>
      <c r="F23" s="3" t="n">
        <v>5</v>
      </c>
      <c r="G23" s="4" t="n">
        <v>0.99</v>
      </c>
      <c r="H23" s="4" t="n">
        <v>0.99</v>
      </c>
      <c r="I23" s="4" t="n">
        <v>0.99</v>
      </c>
      <c r="J23" s="4" t="n">
        <v>0.9</v>
      </c>
      <c r="K23" s="4" t="n">
        <v>0.89</v>
      </c>
      <c r="L23" s="4" t="n">
        <v>0.89</v>
      </c>
      <c r="M23" s="4" t="n">
        <v>2.52</v>
      </c>
      <c r="N23" s="4" t="n">
        <v>2.59</v>
      </c>
      <c r="O23" s="4" t="n">
        <v>2.53</v>
      </c>
      <c r="P23" s="4" t="n">
        <v>3.35</v>
      </c>
      <c r="Q23" s="4" t="n">
        <v>3.37</v>
      </c>
      <c r="R23" s="4" t="n">
        <v>3.31</v>
      </c>
    </row>
    <row r="24">
      <c r="A24" s="3" t="inlineStr">
        <is>
          <t>4AN2</t>
        </is>
      </c>
      <c r="B24" s="3" t="inlineStr">
        <is>
          <t>Cobimetinib</t>
        </is>
      </c>
      <c r="C24" s="3" t="inlineStr">
        <is>
          <t>MEK</t>
        </is>
      </c>
      <c r="D24" s="3" t="n">
        <v>7</v>
      </c>
      <c r="E24" s="3" t="n">
        <v>6</v>
      </c>
      <c r="F24" s="3" t="n">
        <v>6</v>
      </c>
      <c r="G24" s="4" t="n">
        <v>0.99</v>
      </c>
      <c r="H24" s="4" t="n">
        <v>0.99</v>
      </c>
      <c r="I24" s="4" t="n">
        <v>0.99</v>
      </c>
      <c r="J24" s="4" t="n">
        <v>0.23</v>
      </c>
      <c r="K24" s="4" t="n">
        <v>0.29</v>
      </c>
      <c r="L24" s="4" t="n">
        <v>0.22</v>
      </c>
      <c r="M24" s="4" t="n">
        <v>-3.48</v>
      </c>
      <c r="N24" s="4" t="n">
        <v>-3.48</v>
      </c>
      <c r="O24" s="4" t="n">
        <v>-3.55</v>
      </c>
      <c r="P24" s="4" t="n">
        <v>-3.42</v>
      </c>
      <c r="Q24" s="4" t="n">
        <v>-3.41</v>
      </c>
      <c r="R24" s="4" t="n">
        <v>-3.46</v>
      </c>
    </row>
    <row r="25">
      <c r="A25" s="3" t="inlineStr">
        <is>
          <t>4ANQ</t>
        </is>
      </c>
      <c r="B25" s="3" t="inlineStr">
        <is>
          <t>Crizotinib</t>
        </is>
      </c>
      <c r="C25" s="3" t="inlineStr">
        <is>
          <t>ALK</t>
        </is>
      </c>
      <c r="D25" s="3" t="n">
        <v>4</v>
      </c>
      <c r="E25" s="3" t="n">
        <v>4</v>
      </c>
      <c r="F25" s="3" t="n">
        <v>4</v>
      </c>
      <c r="G25" s="4" t="n">
        <v>1.61</v>
      </c>
      <c r="H25" s="4" t="n">
        <v>1.61</v>
      </c>
      <c r="I25" s="4" t="n">
        <v>1.61</v>
      </c>
      <c r="J25" s="4" t="n">
        <v>1</v>
      </c>
      <c r="K25" s="4" t="n">
        <v>1</v>
      </c>
      <c r="L25" s="4" t="n">
        <v>1</v>
      </c>
      <c r="M25" s="4" t="n">
        <v>-5.46</v>
      </c>
      <c r="N25" s="4" t="n">
        <v>-5.95</v>
      </c>
      <c r="O25" s="4" t="n">
        <v>-5.43</v>
      </c>
      <c r="P25" s="4" t="n">
        <v>-4.5</v>
      </c>
      <c r="Q25" s="4" t="n">
        <v>-5.03</v>
      </c>
      <c r="R25" s="4" t="n">
        <v>-4.49</v>
      </c>
    </row>
    <row r="26">
      <c r="A26" s="3" t="inlineStr">
        <is>
          <t>4ANS</t>
        </is>
      </c>
      <c r="B26" s="3" t="inlineStr">
        <is>
          <t>Crizotinib</t>
        </is>
      </c>
      <c r="C26" s="3" t="inlineStr">
        <is>
          <t>ALK</t>
        </is>
      </c>
      <c r="D26" s="3" t="n">
        <v>5</v>
      </c>
      <c r="E26" s="3" t="n">
        <v>4</v>
      </c>
      <c r="F26" s="3" t="n">
        <v>4</v>
      </c>
      <c r="G26" s="4" t="n">
        <v>1.61</v>
      </c>
      <c r="H26" s="4" t="n">
        <v>1.61</v>
      </c>
      <c r="I26" s="4" t="n">
        <v>1.61</v>
      </c>
      <c r="J26" s="4" t="n">
        <v>1</v>
      </c>
      <c r="K26" s="4" t="n">
        <v>1</v>
      </c>
      <c r="L26" s="4" t="n">
        <v>1</v>
      </c>
      <c r="M26" s="4" t="n">
        <v>-5.9</v>
      </c>
      <c r="N26" s="4" t="n">
        <v>-5.88</v>
      </c>
      <c r="O26" s="4" t="n">
        <v>-5.93</v>
      </c>
      <c r="P26" s="4" t="n">
        <v>-4.97</v>
      </c>
      <c r="Q26" s="4" t="n">
        <v>-4.96</v>
      </c>
      <c r="R26" s="4" t="n">
        <v>-4.99</v>
      </c>
    </row>
    <row r="27">
      <c r="A27" s="3" t="inlineStr">
        <is>
          <t>4ASD</t>
        </is>
      </c>
      <c r="B27" s="3" t="inlineStr">
        <is>
          <t>Sorafenib</t>
        </is>
      </c>
      <c r="C27" s="3" t="inlineStr">
        <is>
          <t>VGFR</t>
        </is>
      </c>
      <c r="D27" s="3" t="n">
        <v>4</v>
      </c>
      <c r="E27" s="3" t="n">
        <v>4</v>
      </c>
      <c r="F27" s="3" t="n">
        <v>4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0.09</v>
      </c>
      <c r="N27" s="4" t="n">
        <v>0.32</v>
      </c>
      <c r="O27" s="4" t="n">
        <v>0.29</v>
      </c>
      <c r="P27" s="4" t="n">
        <v>0.06</v>
      </c>
      <c r="Q27" s="4" t="n">
        <v>0.28</v>
      </c>
      <c r="R27" s="4" t="n">
        <v>0.27</v>
      </c>
    </row>
    <row r="28">
      <c r="A28" s="3" t="inlineStr">
        <is>
          <t>4G5J</t>
        </is>
      </c>
      <c r="B28" s="3" t="inlineStr">
        <is>
          <t>Afatinib</t>
        </is>
      </c>
      <c r="C28" s="3" t="inlineStr">
        <is>
          <t>EGFR</t>
        </is>
      </c>
      <c r="D28" s="3" t="n">
        <v>3</v>
      </c>
      <c r="E28" s="3" t="n">
        <v>3</v>
      </c>
      <c r="F28" s="3" t="n">
        <v>3</v>
      </c>
      <c r="G28" s="4" t="n">
        <v>0.99</v>
      </c>
      <c r="H28" s="4" t="n">
        <v>0.99</v>
      </c>
      <c r="I28" s="4" t="n">
        <v>0.99</v>
      </c>
      <c r="J28" s="4" t="n">
        <v>0.95</v>
      </c>
      <c r="K28" s="4" t="n">
        <v>0.95</v>
      </c>
      <c r="L28" s="4" t="n">
        <v>0.95</v>
      </c>
      <c r="M28" s="4" t="n">
        <v>-6.45</v>
      </c>
      <c r="N28" s="4" t="n">
        <v>-6.35</v>
      </c>
      <c r="O28" s="4" t="n">
        <v>-6.42</v>
      </c>
      <c r="P28" s="4" t="n">
        <v>-5.65</v>
      </c>
      <c r="Q28" s="4" t="n">
        <v>-5.55</v>
      </c>
      <c r="R28" s="4" t="n">
        <v>-5.64</v>
      </c>
    </row>
    <row r="29">
      <c r="A29" s="3" t="inlineStr">
        <is>
          <t>4G5P</t>
        </is>
      </c>
      <c r="B29" s="3" t="inlineStr">
        <is>
          <t>Afatinib</t>
        </is>
      </c>
      <c r="C29" s="3" t="inlineStr">
        <is>
          <t>EGFR</t>
        </is>
      </c>
      <c r="D29" s="3" t="n">
        <v>3</v>
      </c>
      <c r="E29" s="3" t="n">
        <v>3</v>
      </c>
      <c r="F29" s="3" t="n">
        <v>3</v>
      </c>
      <c r="G29" s="4" t="n">
        <v>0.99</v>
      </c>
      <c r="H29" s="4" t="n">
        <v>0.99</v>
      </c>
      <c r="I29" s="4" t="n">
        <v>0.99</v>
      </c>
      <c r="J29" s="4" t="n">
        <v>0.96</v>
      </c>
      <c r="K29" s="4" t="n">
        <v>0.96</v>
      </c>
      <c r="L29" s="4" t="n">
        <v>0.96</v>
      </c>
      <c r="M29" s="4" t="n">
        <v>-0.46</v>
      </c>
      <c r="N29" s="4" t="n">
        <v>-0.47</v>
      </c>
      <c r="O29" s="4" t="n">
        <v>-0.62</v>
      </c>
      <c r="P29" s="4" t="n">
        <v>0.23</v>
      </c>
      <c r="Q29" s="4" t="n">
        <v>0.15</v>
      </c>
      <c r="R29" s="4" t="n">
        <v>0.03</v>
      </c>
    </row>
    <row r="30">
      <c r="A30" s="3" t="inlineStr">
        <is>
          <t>4I22</t>
        </is>
      </c>
      <c r="B30" s="3" t="inlineStr">
        <is>
          <t>Gefitinib</t>
        </is>
      </c>
      <c r="C30" s="3" t="inlineStr">
        <is>
          <t>EGFR</t>
        </is>
      </c>
      <c r="D30" s="3" t="n">
        <v>5</v>
      </c>
      <c r="E30" s="3" t="n">
        <v>5</v>
      </c>
      <c r="F30" s="3" t="n">
        <v>5</v>
      </c>
      <c r="G30" s="4" t="n">
        <v>0.3</v>
      </c>
      <c r="H30" s="4" t="n">
        <v>0.3</v>
      </c>
      <c r="I30" s="4" t="n">
        <v>0.3</v>
      </c>
      <c r="J30" s="4" t="n">
        <v>0.45</v>
      </c>
      <c r="K30" s="4" t="n">
        <v>0.47</v>
      </c>
      <c r="L30" s="4" t="n">
        <v>0.52</v>
      </c>
      <c r="M30" s="4" t="n">
        <v>1.91</v>
      </c>
      <c r="N30" s="4" t="n">
        <v>1.91</v>
      </c>
      <c r="O30" s="4" t="n">
        <v>1.91</v>
      </c>
      <c r="P30" s="4" t="n">
        <v>2.28</v>
      </c>
      <c r="Q30" s="4" t="n">
        <v>2.32</v>
      </c>
      <c r="R30" s="4" t="n">
        <v>2.34</v>
      </c>
    </row>
    <row r="31">
      <c r="A31" s="3" t="inlineStr">
        <is>
          <t>4LMN</t>
        </is>
      </c>
      <c r="B31" s="3" t="inlineStr">
        <is>
          <t>Cobimetinib</t>
        </is>
      </c>
      <c r="C31" s="3" t="inlineStr">
        <is>
          <t>MEK</t>
        </is>
      </c>
      <c r="D31" s="3" t="n">
        <v>3</v>
      </c>
      <c r="E31" s="3" t="n">
        <v>3</v>
      </c>
      <c r="F31" s="3" t="n">
        <v>3</v>
      </c>
      <c r="G31" s="4" t="n">
        <v>0.99</v>
      </c>
      <c r="H31" s="4" t="n">
        <v>0.99</v>
      </c>
      <c r="I31" s="4" t="n">
        <v>0.99</v>
      </c>
      <c r="J31" s="4" t="n">
        <v>0.54</v>
      </c>
      <c r="K31" s="4" t="n">
        <v>0.5</v>
      </c>
      <c r="L31" s="4" t="n">
        <v>0.52</v>
      </c>
      <c r="M31" s="4" t="n">
        <v>-3.47</v>
      </c>
      <c r="N31" s="4" t="n">
        <v>-3.65</v>
      </c>
      <c r="O31" s="4" t="n">
        <v>-3.5</v>
      </c>
      <c r="P31" s="4" t="n">
        <v>-2.95</v>
      </c>
      <c r="Q31" s="4" t="n">
        <v>-3.15</v>
      </c>
      <c r="R31" s="4" t="n">
        <v>-2.98</v>
      </c>
    </row>
    <row r="32">
      <c r="A32" s="3" t="inlineStr">
        <is>
          <t>4MKC</t>
        </is>
      </c>
      <c r="B32" s="3" t="inlineStr">
        <is>
          <t>Ceritinib</t>
        </is>
      </c>
      <c r="C32" s="3" t="inlineStr">
        <is>
          <t>ALK</t>
        </is>
      </c>
      <c r="D32" s="3" t="n">
        <v>3</v>
      </c>
      <c r="E32" s="3" t="n">
        <v>3</v>
      </c>
      <c r="F32" s="3" t="n">
        <v>3</v>
      </c>
      <c r="G32" s="4" t="n">
        <v>1</v>
      </c>
      <c r="H32" s="4" t="n">
        <v>1</v>
      </c>
      <c r="I32" s="4" t="n">
        <v>1</v>
      </c>
      <c r="J32" s="4" t="n">
        <v>1</v>
      </c>
      <c r="K32" s="4" t="n">
        <v>1</v>
      </c>
      <c r="L32" s="4" t="n">
        <v>1</v>
      </c>
      <c r="M32" s="4" t="n">
        <v>-3.71</v>
      </c>
      <c r="N32" s="4" t="n">
        <v>-4.09</v>
      </c>
      <c r="O32" s="4" t="n">
        <v>-3.82</v>
      </c>
      <c r="P32" s="4" t="n">
        <v>-3.29</v>
      </c>
      <c r="Q32" s="4" t="n">
        <v>-3.73</v>
      </c>
      <c r="R32" s="4" t="n">
        <v>-3.43</v>
      </c>
    </row>
    <row r="33">
      <c r="A33" s="3" t="inlineStr">
        <is>
          <t>4WKQ</t>
        </is>
      </c>
      <c r="B33" s="3" t="inlineStr">
        <is>
          <t>Gefitinib</t>
        </is>
      </c>
      <c r="C33" s="3" t="inlineStr">
        <is>
          <t>EGFR</t>
        </is>
      </c>
      <c r="D33" s="3" t="n">
        <v>5</v>
      </c>
      <c r="E33" s="3" t="n">
        <v>5</v>
      </c>
      <c r="F33" s="3" t="n">
        <v>5</v>
      </c>
      <c r="G33" s="4" t="n">
        <v>0.3</v>
      </c>
      <c r="H33" s="4" t="n">
        <v>0.3</v>
      </c>
      <c r="I33" s="4" t="n">
        <v>0.3</v>
      </c>
      <c r="J33" s="4" t="n">
        <v>0.49</v>
      </c>
      <c r="K33" s="4" t="n">
        <v>0.46</v>
      </c>
      <c r="L33" s="4" t="n">
        <v>0.47</v>
      </c>
      <c r="M33" s="4" t="n">
        <v>-1.41</v>
      </c>
      <c r="N33" s="4" t="n">
        <v>-1.41</v>
      </c>
      <c r="O33" s="4" t="n">
        <v>-1.37</v>
      </c>
      <c r="P33" s="4" t="n">
        <v>-0.93</v>
      </c>
      <c r="Q33" s="4" t="n">
        <v>-0.9399999999999999</v>
      </c>
      <c r="R33" s="4" t="n">
        <v>-0.91</v>
      </c>
    </row>
    <row r="34">
      <c r="A34" s="3" t="inlineStr">
        <is>
          <t>4ZAU</t>
        </is>
      </c>
      <c r="B34" s="3" t="inlineStr">
        <is>
          <t>Osimertinib</t>
        </is>
      </c>
      <c r="C34" s="3" t="inlineStr">
        <is>
          <t>EGFR</t>
        </is>
      </c>
      <c r="D34" s="3" t="n">
        <v>13</v>
      </c>
      <c r="E34" s="3" t="n">
        <v>13</v>
      </c>
      <c r="F34" s="3" t="n">
        <v>13</v>
      </c>
      <c r="G34" s="4" t="n">
        <v>0.98</v>
      </c>
      <c r="H34" s="4" t="n">
        <v>0.98</v>
      </c>
      <c r="I34" s="4" t="n">
        <v>0.98</v>
      </c>
      <c r="J34" s="4" t="n">
        <v>0.99</v>
      </c>
      <c r="K34" s="4" t="n">
        <v>0.99</v>
      </c>
      <c r="L34" s="4" t="n">
        <v>0.99</v>
      </c>
      <c r="M34" s="4" t="n">
        <v>-2.08</v>
      </c>
      <c r="N34" s="4" t="n">
        <v>-2.2</v>
      </c>
      <c r="O34" s="4" t="n">
        <v>-2.14</v>
      </c>
      <c r="P34" s="4" t="n">
        <v>-1.47</v>
      </c>
      <c r="Q34" s="4" t="n">
        <v>-1.54</v>
      </c>
      <c r="R34" s="4" t="n">
        <v>-1.47</v>
      </c>
    </row>
    <row r="35">
      <c r="A35" s="3" t="inlineStr">
        <is>
          <t>5AAA</t>
        </is>
      </c>
      <c r="B35" s="3" t="inlineStr">
        <is>
          <t>Crizotinib</t>
        </is>
      </c>
      <c r="C35" s="3" t="inlineStr">
        <is>
          <t>ALK</t>
        </is>
      </c>
      <c r="D35" s="3" t="n">
        <v>5</v>
      </c>
      <c r="E35" s="3" t="n">
        <v>4</v>
      </c>
      <c r="F35" s="3" t="n">
        <v>4</v>
      </c>
      <c r="G35" s="4" t="n">
        <v>1.61</v>
      </c>
      <c r="H35" s="4" t="n">
        <v>1.61</v>
      </c>
      <c r="I35" s="4" t="n">
        <v>1.61</v>
      </c>
      <c r="J35" s="4" t="n">
        <v>1</v>
      </c>
      <c r="K35" s="4" t="n">
        <v>1</v>
      </c>
      <c r="L35" s="4" t="n">
        <v>1</v>
      </c>
      <c r="M35" s="4" t="n">
        <v>-5.48</v>
      </c>
      <c r="N35" s="4" t="n">
        <v>-5.53</v>
      </c>
      <c r="O35" s="4" t="n">
        <v>-5.38</v>
      </c>
      <c r="P35" s="4" t="n">
        <v>-4.51</v>
      </c>
      <c r="Q35" s="4" t="n">
        <v>-4.57</v>
      </c>
      <c r="R35" s="4" t="n">
        <v>-4.44</v>
      </c>
    </row>
    <row r="36">
      <c r="A36" s="3" t="inlineStr">
        <is>
          <t>5AAB</t>
        </is>
      </c>
      <c r="B36" s="3" t="inlineStr">
        <is>
          <t>Crizotinib</t>
        </is>
      </c>
      <c r="C36" s="3" t="inlineStr">
        <is>
          <t>ALK</t>
        </is>
      </c>
      <c r="D36" s="3" t="n">
        <v>5</v>
      </c>
      <c r="E36" s="3" t="n">
        <v>4</v>
      </c>
      <c r="F36" s="3" t="n">
        <v>4</v>
      </c>
      <c r="G36" s="4" t="n">
        <v>1.61</v>
      </c>
      <c r="H36" s="4" t="n">
        <v>1.61</v>
      </c>
      <c r="I36" s="4" t="n">
        <v>1.61</v>
      </c>
      <c r="J36" s="4" t="n">
        <v>1</v>
      </c>
      <c r="K36" s="4" t="n">
        <v>1</v>
      </c>
      <c r="L36" s="4" t="n">
        <v>1</v>
      </c>
      <c r="M36" s="4" t="n">
        <v>-6.41</v>
      </c>
      <c r="N36" s="4" t="n">
        <v>-6.32</v>
      </c>
      <c r="O36" s="4" t="n">
        <v>-6.36</v>
      </c>
      <c r="P36" s="4" t="n">
        <v>-5.46</v>
      </c>
      <c r="Q36" s="4" t="n">
        <v>-5.39</v>
      </c>
      <c r="R36" s="4" t="n">
        <v>-5.42</v>
      </c>
    </row>
    <row r="37">
      <c r="A37" s="3" t="inlineStr">
        <is>
          <t>5AAC</t>
        </is>
      </c>
      <c r="B37" s="3" t="inlineStr">
        <is>
          <t>Crizotinib</t>
        </is>
      </c>
      <c r="C37" s="3" t="inlineStr">
        <is>
          <t>ALK</t>
        </is>
      </c>
      <c r="D37" s="3" t="n">
        <v>5</v>
      </c>
      <c r="E37" s="3" t="n">
        <v>4</v>
      </c>
      <c r="F37" s="3" t="n">
        <v>4</v>
      </c>
      <c r="G37" s="4" t="n">
        <v>1.61</v>
      </c>
      <c r="H37" s="4" t="n">
        <v>1.61</v>
      </c>
      <c r="I37" s="4" t="n">
        <v>1.61</v>
      </c>
      <c r="J37" s="4" t="n">
        <v>1</v>
      </c>
      <c r="K37" s="4" t="n">
        <v>1</v>
      </c>
      <c r="L37" s="4" t="n">
        <v>1</v>
      </c>
      <c r="M37" s="4" t="n">
        <v>-5.32</v>
      </c>
      <c r="N37" s="4" t="n">
        <v>-5.8</v>
      </c>
      <c r="O37" s="4" t="n">
        <v>-5.77</v>
      </c>
      <c r="P37" s="4" t="n">
        <v>-4.36</v>
      </c>
      <c r="Q37" s="4" t="n">
        <v>-4.86</v>
      </c>
      <c r="R37" s="4" t="n">
        <v>-4.86</v>
      </c>
    </row>
    <row r="38">
      <c r="A38" s="3" t="inlineStr">
        <is>
          <t>5L2I</t>
        </is>
      </c>
      <c r="B38" s="3" t="inlineStr">
        <is>
          <t>Palbociclib</t>
        </is>
      </c>
      <c r="C38" s="3" t="inlineStr">
        <is>
          <t>CDK6</t>
        </is>
      </c>
      <c r="D38" s="3" t="n">
        <v>2</v>
      </c>
      <c r="E38" s="3" t="n">
        <v>2</v>
      </c>
      <c r="F38" s="3" t="n">
        <v>2</v>
      </c>
      <c r="G38" s="4" t="n">
        <v>0.98</v>
      </c>
      <c r="H38" s="4" t="n">
        <v>0.98</v>
      </c>
      <c r="I38" s="4" t="n">
        <v>0.98</v>
      </c>
      <c r="J38" s="4" t="n">
        <v>0.99</v>
      </c>
      <c r="K38" s="4" t="n">
        <v>0.99</v>
      </c>
      <c r="L38" s="4" t="n">
        <v>0.99</v>
      </c>
      <c r="M38" s="4" t="n">
        <v>-0.33</v>
      </c>
      <c r="N38" s="4" t="n">
        <v>-0.15</v>
      </c>
      <c r="O38" s="4" t="n">
        <v>-0.3</v>
      </c>
      <c r="P38" s="4" t="n">
        <v>0.64</v>
      </c>
      <c r="Q38" s="4" t="n">
        <v>0.84</v>
      </c>
      <c r="R38" s="4" t="n">
        <v>0.71</v>
      </c>
    </row>
    <row r="39">
      <c r="A39" s="3" t="inlineStr">
        <is>
          <t>5MO4</t>
        </is>
      </c>
      <c r="B39" s="3" t="inlineStr">
        <is>
          <t>Nilotinib</t>
        </is>
      </c>
      <c r="C39" s="3" t="inlineStr">
        <is>
          <t>ABL</t>
        </is>
      </c>
      <c r="D39" s="3" t="n">
        <v>3</v>
      </c>
      <c r="E39" s="3" t="n">
        <v>3</v>
      </c>
      <c r="F39" s="3" t="n">
        <v>3</v>
      </c>
      <c r="G39" s="4" t="n">
        <v>0.09</v>
      </c>
      <c r="H39" s="4" t="n">
        <v>0.09</v>
      </c>
      <c r="I39" s="4" t="n">
        <v>0.09</v>
      </c>
      <c r="J39" s="4" t="n">
        <v>0.48</v>
      </c>
      <c r="K39" s="4" t="n">
        <v>0.21</v>
      </c>
      <c r="L39" s="4" t="n">
        <v>0.25</v>
      </c>
      <c r="M39" s="4" t="n">
        <v>-8.039999999999999</v>
      </c>
      <c r="N39" s="4" t="n">
        <v>-8.08</v>
      </c>
      <c r="O39" s="4" t="n">
        <v>-7.95</v>
      </c>
      <c r="P39" s="4" t="n">
        <v>-7.63</v>
      </c>
      <c r="Q39" s="4" t="n">
        <v>-7.86</v>
      </c>
      <c r="R39" s="4" t="n">
        <v>-7.71</v>
      </c>
    </row>
    <row r="41">
      <c r="A41" s="5" t="inlineStr">
        <is>
          <t>Source: xts_sum_crg.out (pH 7.4, entropy-corrected by xts_corr.py) in each trial's run_inhib / run_holo / run_apo; #conf from run_inhib/head3.lst. These are the workbook's only hardcoded values.</t>
        </is>
      </c>
    </row>
  </sheetData>
  <mergeCells count="5">
    <mergeCell ref="J1:L1"/>
    <mergeCell ref="P1:R1"/>
    <mergeCell ref="M1:O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6" t="inlineStr">
        <is>
          <t>Table 1 (Trials): inhibitor and kinase charge at pH 7.4, mean of 3 independent trials</t>
        </is>
      </c>
    </row>
    <row r="2">
      <c r="A2" s="5" t="inlineStr">
        <is>
          <t>Each value is the mean over the trials; ± columns are the standard error of the mean (SD/√n). See the Methods sheet.</t>
        </is>
      </c>
    </row>
    <row r="4">
      <c r="A4" s="1" t="inlineStr"/>
      <c r="B4" s="1" t="inlineStr"/>
      <c r="C4" s="1" t="inlineStr"/>
      <c r="D4" s="1" t="inlineStr">
        <is>
          <t>Ligand</t>
        </is>
      </c>
      <c r="E4" s="1" t="inlineStr">
        <is>
          <t>Ligand</t>
        </is>
      </c>
      <c r="F4" s="1" t="inlineStr">
        <is>
          <t>Ligand</t>
        </is>
      </c>
      <c r="G4" s="1" t="inlineStr">
        <is>
          <t>Ligand</t>
        </is>
      </c>
      <c r="H4" s="1" t="inlineStr">
        <is>
          <t>Ligand</t>
        </is>
      </c>
      <c r="I4" s="1" t="inlineStr">
        <is>
          <t>Ligand</t>
        </is>
      </c>
      <c r="J4" s="1" t="inlineStr">
        <is>
          <t>Apo-kinase</t>
        </is>
      </c>
      <c r="K4" s="1" t="inlineStr">
        <is>
          <t>Apo-kinase</t>
        </is>
      </c>
      <c r="L4" s="1" t="inlineStr">
        <is>
          <t>Holo-kinase</t>
        </is>
      </c>
      <c r="M4" s="1" t="inlineStr">
        <is>
          <t>Holo-kinase</t>
        </is>
      </c>
      <c r="N4" s="1" t="inlineStr">
        <is>
          <t>Holo-Apo</t>
        </is>
      </c>
      <c r="O4" s="1" t="inlineStr">
        <is>
          <t>Holo-Apo</t>
        </is>
      </c>
      <c r="P4" s="1" t="n"/>
    </row>
    <row r="5">
      <c r="A5" s="2" t="inlineStr">
        <is>
          <t>PDBID</t>
        </is>
      </c>
      <c r="B5" s="2" t="inlineStr">
        <is>
          <t>Ligand</t>
        </is>
      </c>
      <c r="C5" s="2" t="inlineStr">
        <is>
          <t>Kinase</t>
        </is>
      </c>
      <c r="D5" s="2" t="inlineStr">
        <is>
          <t>#conf</t>
        </is>
      </c>
      <c r="E5" s="2" t="inlineStr">
        <is>
          <t>crg soln</t>
        </is>
      </c>
      <c r="F5" s="2" t="inlineStr">
        <is>
          <t>± SEM</t>
        </is>
      </c>
      <c r="G5" s="2" t="inlineStr">
        <is>
          <t>crg bound</t>
        </is>
      </c>
      <c r="H5" s="2" t="inlineStr">
        <is>
          <t>± SEM</t>
        </is>
      </c>
      <c r="I5" s="2" t="inlineStr">
        <is>
          <t>∆crg</t>
        </is>
      </c>
      <c r="J5" s="2" t="inlineStr">
        <is>
          <t>± SEM</t>
        </is>
      </c>
      <c r="K5" s="2" t="inlineStr">
        <is>
          <t>charge</t>
        </is>
      </c>
      <c r="L5" s="2" t="inlineStr">
        <is>
          <t>± SEM</t>
        </is>
      </c>
      <c r="M5" s="2" t="inlineStr">
        <is>
          <t>charge</t>
        </is>
      </c>
      <c r="N5" s="2" t="inlineStr">
        <is>
          <t>± SEM</t>
        </is>
      </c>
      <c r="O5" s="2" t="inlineStr">
        <is>
          <t>∆crg</t>
        </is>
      </c>
      <c r="P5" s="2" t="inlineStr">
        <is>
          <t>± SEM</t>
        </is>
      </c>
    </row>
    <row r="6">
      <c r="A6" s="7" t="n"/>
      <c r="B6" s="8" t="inlineStr">
        <is>
          <t>ABL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</row>
    <row r="7">
      <c r="A7" s="3" t="inlineStr">
        <is>
          <t>2HYY</t>
        </is>
      </c>
      <c r="B7" s="3" t="inlineStr">
        <is>
          <t>Imatinib</t>
        </is>
      </c>
      <c r="C7" s="3" t="inlineStr">
        <is>
          <t>ABL</t>
        </is>
      </c>
      <c r="D7" s="9">
        <f>AVERAGE('Per-Trial Data'!$D5:$F5)</f>
        <v/>
      </c>
      <c r="E7" s="4">
        <f>AVERAGE('Per-Trial Data'!$G5:$I5)</f>
        <v/>
      </c>
      <c r="F7" s="10">
        <f>IF(COUNT('Per-Trial Data'!$G5:$I5)&gt;1,STDEV('Per-Trial Data'!$G5:$I5)/SQRT(COUNT('Per-Trial Data'!$G5:$I5)),0)</f>
        <v/>
      </c>
      <c r="G7" s="4">
        <f>AVERAGE('Per-Trial Data'!$J5:$L5)</f>
        <v/>
      </c>
      <c r="H7" s="10">
        <f>IF(COUNT('Per-Trial Data'!$J5:$L5)&gt;1,STDEV('Per-Trial Data'!$J5:$L5)/SQRT(COUNT('Per-Trial Data'!$J5:$L5)),0)</f>
        <v/>
      </c>
      <c r="I7" s="4">
        <f>G7-E7</f>
        <v/>
      </c>
      <c r="J7" s="10">
        <f>SQRT(F7^2+H7^2)</f>
        <v/>
      </c>
      <c r="K7" s="4">
        <f>AVERAGE('Per-Trial Data'!$M5:$O5)</f>
        <v/>
      </c>
      <c r="L7" s="10">
        <f>IF(COUNT('Per-Trial Data'!$M5:$O5)&gt;1,STDEV('Per-Trial Data'!$M5:$O5)/SQRT(COUNT('Per-Trial Data'!$M5:$O5)),0)</f>
        <v/>
      </c>
      <c r="M7" s="4">
        <f>AVERAGE('Per-Trial Data'!$P5:$R5)</f>
        <v/>
      </c>
      <c r="N7" s="10">
        <f>IF(COUNT('Per-Trial Data'!$P5:$R5)&gt;1,STDEV('Per-Trial Data'!$P5:$R5)/SQRT(COUNT('Per-Trial Data'!$P5:$R5)),0)</f>
        <v/>
      </c>
      <c r="O7" s="4">
        <f>M7-K7</f>
        <v/>
      </c>
      <c r="P7" s="10">
        <f>SQRT(L7^2+N7^2)</f>
        <v/>
      </c>
    </row>
    <row r="8">
      <c r="A8" s="3" t="inlineStr">
        <is>
          <t>3CS9</t>
        </is>
      </c>
      <c r="B8" s="3" t="inlineStr">
        <is>
          <t>Nilotinib</t>
        </is>
      </c>
      <c r="C8" s="3" t="inlineStr">
        <is>
          <t>ABL</t>
        </is>
      </c>
      <c r="D8" s="9">
        <f>AVERAGE('Per-Trial Data'!$D13:$F13)</f>
        <v/>
      </c>
      <c r="E8" s="4">
        <f>AVERAGE('Per-Trial Data'!$G13:$I13)</f>
        <v/>
      </c>
      <c r="F8" s="10">
        <f>IF(COUNT('Per-Trial Data'!$G13:$I13)&gt;1,STDEV('Per-Trial Data'!$G13:$I13)/SQRT(COUNT('Per-Trial Data'!$G13:$I13)),0)</f>
        <v/>
      </c>
      <c r="G8" s="4">
        <f>AVERAGE('Per-Trial Data'!$J13:$L13)</f>
        <v/>
      </c>
      <c r="H8" s="10">
        <f>IF(COUNT('Per-Trial Data'!$J13:$L13)&gt;1,STDEV('Per-Trial Data'!$J13:$L13)/SQRT(COUNT('Per-Trial Data'!$J13:$L13)),0)</f>
        <v/>
      </c>
      <c r="I8" s="4">
        <f>G8-E8</f>
        <v/>
      </c>
      <c r="J8" s="10">
        <f>SQRT(F8^2+H8^2)</f>
        <v/>
      </c>
      <c r="K8" s="4">
        <f>AVERAGE('Per-Trial Data'!$M13:$O13)</f>
        <v/>
      </c>
      <c r="L8" s="10">
        <f>IF(COUNT('Per-Trial Data'!$M13:$O13)&gt;1,STDEV('Per-Trial Data'!$M13:$O13)/SQRT(COUNT('Per-Trial Data'!$M13:$O13)),0)</f>
        <v/>
      </c>
      <c r="M8" s="4">
        <f>AVERAGE('Per-Trial Data'!$P13:$R13)</f>
        <v/>
      </c>
      <c r="N8" s="10">
        <f>IF(COUNT('Per-Trial Data'!$P13:$R13)&gt;1,STDEV('Per-Trial Data'!$P13:$R13)/SQRT(COUNT('Per-Trial Data'!$P13:$R13)),0)</f>
        <v/>
      </c>
      <c r="O8" s="4">
        <f>M8-K8</f>
        <v/>
      </c>
      <c r="P8" s="10">
        <f>SQRT(L8^2+N8^2)</f>
        <v/>
      </c>
    </row>
    <row r="9">
      <c r="A9" s="3" t="inlineStr">
        <is>
          <t>3PYY</t>
        </is>
      </c>
      <c r="B9" s="3" t="inlineStr">
        <is>
          <t>Imatinib</t>
        </is>
      </c>
      <c r="C9" s="3" t="inlineStr">
        <is>
          <t>ABL</t>
        </is>
      </c>
      <c r="D9" s="9">
        <f>AVERAGE('Per-Trial Data'!$D15:$F15)</f>
        <v/>
      </c>
      <c r="E9" s="4">
        <f>AVERAGE('Per-Trial Data'!$G15:$I15)</f>
        <v/>
      </c>
      <c r="F9" s="10">
        <f>IF(COUNT('Per-Trial Data'!$G15:$I15)&gt;1,STDEV('Per-Trial Data'!$G15:$I15)/SQRT(COUNT('Per-Trial Data'!$G15:$I15)),0)</f>
        <v/>
      </c>
      <c r="G9" s="4">
        <f>AVERAGE('Per-Trial Data'!$J15:$L15)</f>
        <v/>
      </c>
      <c r="H9" s="10">
        <f>IF(COUNT('Per-Trial Data'!$J15:$L15)&gt;1,STDEV('Per-Trial Data'!$J15:$L15)/SQRT(COUNT('Per-Trial Data'!$J15:$L15)),0)</f>
        <v/>
      </c>
      <c r="I9" s="4">
        <f>G9-E9</f>
        <v/>
      </c>
      <c r="J9" s="10">
        <f>SQRT(F9^2+H9^2)</f>
        <v/>
      </c>
      <c r="K9" s="4">
        <f>AVERAGE('Per-Trial Data'!$M15:$O15)</f>
        <v/>
      </c>
      <c r="L9" s="10">
        <f>IF(COUNT('Per-Trial Data'!$M15:$O15)&gt;1,STDEV('Per-Trial Data'!$M15:$O15)/SQRT(COUNT('Per-Trial Data'!$M15:$O15)),0)</f>
        <v/>
      </c>
      <c r="M9" s="4">
        <f>AVERAGE('Per-Trial Data'!$P15:$R15)</f>
        <v/>
      </c>
      <c r="N9" s="10">
        <f>IF(COUNT('Per-Trial Data'!$P15:$R15)&gt;1,STDEV('Per-Trial Data'!$P15:$R15)/SQRT(COUNT('Per-Trial Data'!$P15:$R15)),0)</f>
        <v/>
      </c>
      <c r="O9" s="4">
        <f>M9-K9</f>
        <v/>
      </c>
      <c r="P9" s="10">
        <f>SQRT(L9^2+N9^2)</f>
        <v/>
      </c>
    </row>
    <row r="10">
      <c r="A10" s="3" t="inlineStr">
        <is>
          <t>3UE4</t>
        </is>
      </c>
      <c r="B10" s="3" t="inlineStr">
        <is>
          <t>Bosutinib</t>
        </is>
      </c>
      <c r="C10" s="3" t="inlineStr">
        <is>
          <t>ABL</t>
        </is>
      </c>
      <c r="D10" s="9">
        <f>AVERAGE('Per-Trial Data'!$D16:$F16)</f>
        <v/>
      </c>
      <c r="E10" s="4">
        <f>AVERAGE('Per-Trial Data'!$G16:$I16)</f>
        <v/>
      </c>
      <c r="F10" s="10">
        <f>IF(COUNT('Per-Trial Data'!$G16:$I16)&gt;1,STDEV('Per-Trial Data'!$G16:$I16)/SQRT(COUNT('Per-Trial Data'!$G16:$I16)),0)</f>
        <v/>
      </c>
      <c r="G10" s="4">
        <f>AVERAGE('Per-Trial Data'!$J16:$L16)</f>
        <v/>
      </c>
      <c r="H10" s="10">
        <f>IF(COUNT('Per-Trial Data'!$J16:$L16)&gt;1,STDEV('Per-Trial Data'!$J16:$L16)/SQRT(COUNT('Per-Trial Data'!$J16:$L16)),0)</f>
        <v/>
      </c>
      <c r="I10" s="4">
        <f>G10-E10</f>
        <v/>
      </c>
      <c r="J10" s="10">
        <f>SQRT(F10^2+H10^2)</f>
        <v/>
      </c>
      <c r="K10" s="4">
        <f>AVERAGE('Per-Trial Data'!$M16:$O16)</f>
        <v/>
      </c>
      <c r="L10" s="10">
        <f>IF(COUNT('Per-Trial Data'!$M16:$O16)&gt;1,STDEV('Per-Trial Data'!$M16:$O16)/SQRT(COUNT('Per-Trial Data'!$M16:$O16)),0)</f>
        <v/>
      </c>
      <c r="M10" s="4">
        <f>AVERAGE('Per-Trial Data'!$P16:$R16)</f>
        <v/>
      </c>
      <c r="N10" s="10">
        <f>IF(COUNT('Per-Trial Data'!$P16:$R16)&gt;1,STDEV('Per-Trial Data'!$P16:$R16)/SQRT(COUNT('Per-Trial Data'!$P16:$R16)),0)</f>
        <v/>
      </c>
      <c r="O10" s="4">
        <f>M10-K10</f>
        <v/>
      </c>
      <c r="P10" s="10">
        <f>SQRT(L10^2+N10^2)</f>
        <v/>
      </c>
    </row>
    <row r="11">
      <c r="A11" s="3" t="inlineStr">
        <is>
          <t>5MO4</t>
        </is>
      </c>
      <c r="B11" s="3" t="inlineStr">
        <is>
          <t>Nilotinib</t>
        </is>
      </c>
      <c r="C11" s="3" t="inlineStr">
        <is>
          <t>ABL</t>
        </is>
      </c>
      <c r="D11" s="9">
        <f>AVERAGE('Per-Trial Data'!$D39:$F39)</f>
        <v/>
      </c>
      <c r="E11" s="4">
        <f>AVERAGE('Per-Trial Data'!$G39:$I39)</f>
        <v/>
      </c>
      <c r="F11" s="10">
        <f>IF(COUNT('Per-Trial Data'!$G39:$I39)&gt;1,STDEV('Per-Trial Data'!$G39:$I39)/SQRT(COUNT('Per-Trial Data'!$G39:$I39)),0)</f>
        <v/>
      </c>
      <c r="G11" s="4">
        <f>AVERAGE('Per-Trial Data'!$J39:$L39)</f>
        <v/>
      </c>
      <c r="H11" s="10">
        <f>IF(COUNT('Per-Trial Data'!$J39:$L39)&gt;1,STDEV('Per-Trial Data'!$J39:$L39)/SQRT(COUNT('Per-Trial Data'!$J39:$L39)),0)</f>
        <v/>
      </c>
      <c r="I11" s="4">
        <f>G11-E11</f>
        <v/>
      </c>
      <c r="J11" s="10">
        <f>SQRT(F11^2+H11^2)</f>
        <v/>
      </c>
      <c r="K11" s="4">
        <f>AVERAGE('Per-Trial Data'!$M39:$O39)</f>
        <v/>
      </c>
      <c r="L11" s="10">
        <f>IF(COUNT('Per-Trial Data'!$M39:$O39)&gt;1,STDEV('Per-Trial Data'!$M39:$O39)/SQRT(COUNT('Per-Trial Data'!$M39:$O39)),0)</f>
        <v/>
      </c>
      <c r="M11" s="4">
        <f>AVERAGE('Per-Trial Data'!$P39:$R39)</f>
        <v/>
      </c>
      <c r="N11" s="10">
        <f>IF(COUNT('Per-Trial Data'!$P39:$R39)&gt;1,STDEV('Per-Trial Data'!$P39:$R39)/SQRT(COUNT('Per-Trial Data'!$P39:$R39)),0)</f>
        <v/>
      </c>
      <c r="O11" s="4">
        <f>M11-K11</f>
        <v/>
      </c>
      <c r="P11" s="10">
        <f>SQRT(L11^2+N11^2)</f>
        <v/>
      </c>
    </row>
    <row r="12">
      <c r="A12" s="7" t="n"/>
      <c r="B12" s="8" t="inlineStr">
        <is>
          <t>ALK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</row>
    <row r="13">
      <c r="A13" s="3" t="inlineStr">
        <is>
          <t>2XP2</t>
        </is>
      </c>
      <c r="B13" s="3" t="inlineStr">
        <is>
          <t>Crizotinib</t>
        </is>
      </c>
      <c r="C13" s="3" t="inlineStr">
        <is>
          <t>ALK</t>
        </is>
      </c>
      <c r="D13" s="9">
        <f>AVERAGE('Per-Trial Data'!$D10:$F10)</f>
        <v/>
      </c>
      <c r="E13" s="4">
        <f>AVERAGE('Per-Trial Data'!$G10:$I10)</f>
        <v/>
      </c>
      <c r="F13" s="10">
        <f>IF(COUNT('Per-Trial Data'!$G10:$I10)&gt;1,STDEV('Per-Trial Data'!$G10:$I10)/SQRT(COUNT('Per-Trial Data'!$G10:$I10)),0)</f>
        <v/>
      </c>
      <c r="G13" s="4">
        <f>AVERAGE('Per-Trial Data'!$J10:$L10)</f>
        <v/>
      </c>
      <c r="H13" s="10">
        <f>IF(COUNT('Per-Trial Data'!$J10:$L10)&gt;1,STDEV('Per-Trial Data'!$J10:$L10)/SQRT(COUNT('Per-Trial Data'!$J10:$L10)),0)</f>
        <v/>
      </c>
      <c r="I13" s="4">
        <f>G13-E13</f>
        <v/>
      </c>
      <c r="J13" s="10">
        <f>SQRT(F13^2+H13^2)</f>
        <v/>
      </c>
      <c r="K13" s="4">
        <f>AVERAGE('Per-Trial Data'!$M10:$O10)</f>
        <v/>
      </c>
      <c r="L13" s="10">
        <f>IF(COUNT('Per-Trial Data'!$M10:$O10)&gt;1,STDEV('Per-Trial Data'!$M10:$O10)/SQRT(COUNT('Per-Trial Data'!$M10:$O10)),0)</f>
        <v/>
      </c>
      <c r="M13" s="4">
        <f>AVERAGE('Per-Trial Data'!$P10:$R10)</f>
        <v/>
      </c>
      <c r="N13" s="10">
        <f>IF(COUNT('Per-Trial Data'!$P10:$R10)&gt;1,STDEV('Per-Trial Data'!$P10:$R10)/SQRT(COUNT('Per-Trial Data'!$P10:$R10)),0)</f>
        <v/>
      </c>
      <c r="O13" s="4">
        <f>M13-K13</f>
        <v/>
      </c>
      <c r="P13" s="10">
        <f>SQRT(L13^2+N13^2)</f>
        <v/>
      </c>
    </row>
    <row r="14">
      <c r="A14" s="3" t="inlineStr">
        <is>
          <t>2YFX</t>
        </is>
      </c>
      <c r="B14" s="3" t="inlineStr">
        <is>
          <t>Crizotinib</t>
        </is>
      </c>
      <c r="C14" s="3" t="inlineStr">
        <is>
          <t>ALK</t>
        </is>
      </c>
      <c r="D14" s="9">
        <f>AVERAGE('Per-Trial Data'!$D11:$F11)</f>
        <v/>
      </c>
      <c r="E14" s="4">
        <f>AVERAGE('Per-Trial Data'!$G11:$I11)</f>
        <v/>
      </c>
      <c r="F14" s="10">
        <f>IF(COUNT('Per-Trial Data'!$G11:$I11)&gt;1,STDEV('Per-Trial Data'!$G11:$I11)/SQRT(COUNT('Per-Trial Data'!$G11:$I11)),0)</f>
        <v/>
      </c>
      <c r="G14" s="4">
        <f>AVERAGE('Per-Trial Data'!$J11:$L11)</f>
        <v/>
      </c>
      <c r="H14" s="10">
        <f>IF(COUNT('Per-Trial Data'!$J11:$L11)&gt;1,STDEV('Per-Trial Data'!$J11:$L11)/SQRT(COUNT('Per-Trial Data'!$J11:$L11)),0)</f>
        <v/>
      </c>
      <c r="I14" s="4">
        <f>G14-E14</f>
        <v/>
      </c>
      <c r="J14" s="10">
        <f>SQRT(F14^2+H14^2)</f>
        <v/>
      </c>
      <c r="K14" s="4">
        <f>AVERAGE('Per-Trial Data'!$M11:$O11)</f>
        <v/>
      </c>
      <c r="L14" s="10">
        <f>IF(COUNT('Per-Trial Data'!$M11:$O11)&gt;1,STDEV('Per-Trial Data'!$M11:$O11)/SQRT(COUNT('Per-Trial Data'!$M11:$O11)),0)</f>
        <v/>
      </c>
      <c r="M14" s="4">
        <f>AVERAGE('Per-Trial Data'!$P11:$R11)</f>
        <v/>
      </c>
      <c r="N14" s="10">
        <f>IF(COUNT('Per-Trial Data'!$P11:$R11)&gt;1,STDEV('Per-Trial Data'!$P11:$R11)/SQRT(COUNT('Per-Trial Data'!$P11:$R11)),0)</f>
        <v/>
      </c>
      <c r="O14" s="4">
        <f>M14-K14</f>
        <v/>
      </c>
      <c r="P14" s="10">
        <f>SQRT(L14^2+N14^2)</f>
        <v/>
      </c>
    </row>
    <row r="15">
      <c r="A15" s="3" t="inlineStr">
        <is>
          <t>3AOX</t>
        </is>
      </c>
      <c r="B15" s="3" t="inlineStr">
        <is>
          <t>Alectinib</t>
        </is>
      </c>
      <c r="C15" s="3" t="inlineStr">
        <is>
          <t>ALK</t>
        </is>
      </c>
      <c r="D15" s="9">
        <f>AVERAGE('Per-Trial Data'!$D12:$F12)</f>
        <v/>
      </c>
      <c r="E15" s="4">
        <f>AVERAGE('Per-Trial Data'!$G12:$I12)</f>
        <v/>
      </c>
      <c r="F15" s="10">
        <f>IF(COUNT('Per-Trial Data'!$G12:$I12)&gt;1,STDEV('Per-Trial Data'!$G12:$I12)/SQRT(COUNT('Per-Trial Data'!$G12:$I12)),0)</f>
        <v/>
      </c>
      <c r="G15" s="4">
        <f>AVERAGE('Per-Trial Data'!$J12:$L12)</f>
        <v/>
      </c>
      <c r="H15" s="10">
        <f>IF(COUNT('Per-Trial Data'!$J12:$L12)&gt;1,STDEV('Per-Trial Data'!$J12:$L12)/SQRT(COUNT('Per-Trial Data'!$J12:$L12)),0)</f>
        <v/>
      </c>
      <c r="I15" s="4">
        <f>G15-E15</f>
        <v/>
      </c>
      <c r="J15" s="10">
        <f>SQRT(F15^2+H15^2)</f>
        <v/>
      </c>
      <c r="K15" s="4">
        <f>AVERAGE('Per-Trial Data'!$M12:$O12)</f>
        <v/>
      </c>
      <c r="L15" s="10">
        <f>IF(COUNT('Per-Trial Data'!$M12:$O12)&gt;1,STDEV('Per-Trial Data'!$M12:$O12)/SQRT(COUNT('Per-Trial Data'!$M12:$O12)),0)</f>
        <v/>
      </c>
      <c r="M15" s="4">
        <f>AVERAGE('Per-Trial Data'!$P12:$R12)</f>
        <v/>
      </c>
      <c r="N15" s="10">
        <f>IF(COUNT('Per-Trial Data'!$P12:$R12)&gt;1,STDEV('Per-Trial Data'!$P12:$R12)/SQRT(COUNT('Per-Trial Data'!$P12:$R12)),0)</f>
        <v/>
      </c>
      <c r="O15" s="4">
        <f>M15-K15</f>
        <v/>
      </c>
      <c r="P15" s="10">
        <f>SQRT(L15^2+N15^2)</f>
        <v/>
      </c>
    </row>
    <row r="16">
      <c r="A16" s="3" t="inlineStr">
        <is>
          <t>4ANQ</t>
        </is>
      </c>
      <c r="B16" s="3" t="inlineStr">
        <is>
          <t>Crizotinib</t>
        </is>
      </c>
      <c r="C16" s="3" t="inlineStr">
        <is>
          <t>ALK</t>
        </is>
      </c>
      <c r="D16" s="9">
        <f>AVERAGE('Per-Trial Data'!$D25:$F25)</f>
        <v/>
      </c>
      <c r="E16" s="4">
        <f>AVERAGE('Per-Trial Data'!$G25:$I25)</f>
        <v/>
      </c>
      <c r="F16" s="10">
        <f>IF(COUNT('Per-Trial Data'!$G25:$I25)&gt;1,STDEV('Per-Trial Data'!$G25:$I25)/SQRT(COUNT('Per-Trial Data'!$G25:$I25)),0)</f>
        <v/>
      </c>
      <c r="G16" s="4">
        <f>AVERAGE('Per-Trial Data'!$J25:$L25)</f>
        <v/>
      </c>
      <c r="H16" s="10">
        <f>IF(COUNT('Per-Trial Data'!$J25:$L25)&gt;1,STDEV('Per-Trial Data'!$J25:$L25)/SQRT(COUNT('Per-Trial Data'!$J25:$L25)),0)</f>
        <v/>
      </c>
      <c r="I16" s="4">
        <f>G16-E16</f>
        <v/>
      </c>
      <c r="J16" s="10">
        <f>SQRT(F16^2+H16^2)</f>
        <v/>
      </c>
      <c r="K16" s="4">
        <f>AVERAGE('Per-Trial Data'!$M25:$O25)</f>
        <v/>
      </c>
      <c r="L16" s="10">
        <f>IF(COUNT('Per-Trial Data'!$M25:$O25)&gt;1,STDEV('Per-Trial Data'!$M25:$O25)/SQRT(COUNT('Per-Trial Data'!$M25:$O25)),0)</f>
        <v/>
      </c>
      <c r="M16" s="4">
        <f>AVERAGE('Per-Trial Data'!$P25:$R25)</f>
        <v/>
      </c>
      <c r="N16" s="10">
        <f>IF(COUNT('Per-Trial Data'!$P25:$R25)&gt;1,STDEV('Per-Trial Data'!$P25:$R25)/SQRT(COUNT('Per-Trial Data'!$P25:$R25)),0)</f>
        <v/>
      </c>
      <c r="O16" s="4">
        <f>M16-K16</f>
        <v/>
      </c>
      <c r="P16" s="10">
        <f>SQRT(L16^2+N16^2)</f>
        <v/>
      </c>
    </row>
    <row r="17">
      <c r="A17" s="3" t="inlineStr">
        <is>
          <t>4ANS</t>
        </is>
      </c>
      <c r="B17" s="3" t="inlineStr">
        <is>
          <t>Crizotinib</t>
        </is>
      </c>
      <c r="C17" s="3" t="inlineStr">
        <is>
          <t>ALK</t>
        </is>
      </c>
      <c r="D17" s="9">
        <f>AVERAGE('Per-Trial Data'!$D26:$F26)</f>
        <v/>
      </c>
      <c r="E17" s="4">
        <f>AVERAGE('Per-Trial Data'!$G26:$I26)</f>
        <v/>
      </c>
      <c r="F17" s="10">
        <f>IF(COUNT('Per-Trial Data'!$G26:$I26)&gt;1,STDEV('Per-Trial Data'!$G26:$I26)/SQRT(COUNT('Per-Trial Data'!$G26:$I26)),0)</f>
        <v/>
      </c>
      <c r="G17" s="4">
        <f>AVERAGE('Per-Trial Data'!$J26:$L26)</f>
        <v/>
      </c>
      <c r="H17" s="10">
        <f>IF(COUNT('Per-Trial Data'!$J26:$L26)&gt;1,STDEV('Per-Trial Data'!$J26:$L26)/SQRT(COUNT('Per-Trial Data'!$J26:$L26)),0)</f>
        <v/>
      </c>
      <c r="I17" s="4">
        <f>G17-E17</f>
        <v/>
      </c>
      <c r="J17" s="10">
        <f>SQRT(F17^2+H17^2)</f>
        <v/>
      </c>
      <c r="K17" s="4">
        <f>AVERAGE('Per-Trial Data'!$M26:$O26)</f>
        <v/>
      </c>
      <c r="L17" s="10">
        <f>IF(COUNT('Per-Trial Data'!$M26:$O26)&gt;1,STDEV('Per-Trial Data'!$M26:$O26)/SQRT(COUNT('Per-Trial Data'!$M26:$O26)),0)</f>
        <v/>
      </c>
      <c r="M17" s="4">
        <f>AVERAGE('Per-Trial Data'!$P26:$R26)</f>
        <v/>
      </c>
      <c r="N17" s="10">
        <f>IF(COUNT('Per-Trial Data'!$P26:$R26)&gt;1,STDEV('Per-Trial Data'!$P26:$R26)/SQRT(COUNT('Per-Trial Data'!$P26:$R26)),0)</f>
        <v/>
      </c>
      <c r="O17" s="4">
        <f>M17-K17</f>
        <v/>
      </c>
      <c r="P17" s="10">
        <f>SQRT(L17^2+N17^2)</f>
        <v/>
      </c>
    </row>
    <row r="18">
      <c r="A18" s="3" t="inlineStr">
        <is>
          <t>4MKC</t>
        </is>
      </c>
      <c r="B18" s="3" t="inlineStr">
        <is>
          <t>Ceritinib</t>
        </is>
      </c>
      <c r="C18" s="3" t="inlineStr">
        <is>
          <t>ALK</t>
        </is>
      </c>
      <c r="D18" s="9">
        <f>AVERAGE('Per-Trial Data'!$D32:$F32)</f>
        <v/>
      </c>
      <c r="E18" s="4">
        <f>AVERAGE('Per-Trial Data'!$G32:$I32)</f>
        <v/>
      </c>
      <c r="F18" s="10">
        <f>IF(COUNT('Per-Trial Data'!$G32:$I32)&gt;1,STDEV('Per-Trial Data'!$G32:$I32)/SQRT(COUNT('Per-Trial Data'!$G32:$I32)),0)</f>
        <v/>
      </c>
      <c r="G18" s="4">
        <f>AVERAGE('Per-Trial Data'!$J32:$L32)</f>
        <v/>
      </c>
      <c r="H18" s="10">
        <f>IF(COUNT('Per-Trial Data'!$J32:$L32)&gt;1,STDEV('Per-Trial Data'!$J32:$L32)/SQRT(COUNT('Per-Trial Data'!$J32:$L32)),0)</f>
        <v/>
      </c>
      <c r="I18" s="4">
        <f>G18-E18</f>
        <v/>
      </c>
      <c r="J18" s="10">
        <f>SQRT(F18^2+H18^2)</f>
        <v/>
      </c>
      <c r="K18" s="4">
        <f>AVERAGE('Per-Trial Data'!$M32:$O32)</f>
        <v/>
      </c>
      <c r="L18" s="10">
        <f>IF(COUNT('Per-Trial Data'!$M32:$O32)&gt;1,STDEV('Per-Trial Data'!$M32:$O32)/SQRT(COUNT('Per-Trial Data'!$M32:$O32)),0)</f>
        <v/>
      </c>
      <c r="M18" s="4">
        <f>AVERAGE('Per-Trial Data'!$P32:$R32)</f>
        <v/>
      </c>
      <c r="N18" s="10">
        <f>IF(COUNT('Per-Trial Data'!$P32:$R32)&gt;1,STDEV('Per-Trial Data'!$P32:$R32)/SQRT(COUNT('Per-Trial Data'!$P32:$R32)),0)</f>
        <v/>
      </c>
      <c r="O18" s="4">
        <f>M18-K18</f>
        <v/>
      </c>
      <c r="P18" s="10">
        <f>SQRT(L18^2+N18^2)</f>
        <v/>
      </c>
    </row>
    <row r="19">
      <c r="A19" s="3" t="inlineStr">
        <is>
          <t>5AAA</t>
        </is>
      </c>
      <c r="B19" s="3" t="inlineStr">
        <is>
          <t>Crizotinib</t>
        </is>
      </c>
      <c r="C19" s="3" t="inlineStr">
        <is>
          <t>ALK</t>
        </is>
      </c>
      <c r="D19" s="9">
        <f>AVERAGE('Per-Trial Data'!$D35:$F35)</f>
        <v/>
      </c>
      <c r="E19" s="4">
        <f>AVERAGE('Per-Trial Data'!$G35:$I35)</f>
        <v/>
      </c>
      <c r="F19" s="10">
        <f>IF(COUNT('Per-Trial Data'!$G35:$I35)&gt;1,STDEV('Per-Trial Data'!$G35:$I35)/SQRT(COUNT('Per-Trial Data'!$G35:$I35)),0)</f>
        <v/>
      </c>
      <c r="G19" s="4">
        <f>AVERAGE('Per-Trial Data'!$J35:$L35)</f>
        <v/>
      </c>
      <c r="H19" s="10">
        <f>IF(COUNT('Per-Trial Data'!$J35:$L35)&gt;1,STDEV('Per-Trial Data'!$J35:$L35)/SQRT(COUNT('Per-Trial Data'!$J35:$L35)),0)</f>
        <v/>
      </c>
      <c r="I19" s="4">
        <f>G19-E19</f>
        <v/>
      </c>
      <c r="J19" s="10">
        <f>SQRT(F19^2+H19^2)</f>
        <v/>
      </c>
      <c r="K19" s="4">
        <f>AVERAGE('Per-Trial Data'!$M35:$O35)</f>
        <v/>
      </c>
      <c r="L19" s="10">
        <f>IF(COUNT('Per-Trial Data'!$M35:$O35)&gt;1,STDEV('Per-Trial Data'!$M35:$O35)/SQRT(COUNT('Per-Trial Data'!$M35:$O35)),0)</f>
        <v/>
      </c>
      <c r="M19" s="4">
        <f>AVERAGE('Per-Trial Data'!$P35:$R35)</f>
        <v/>
      </c>
      <c r="N19" s="10">
        <f>IF(COUNT('Per-Trial Data'!$P35:$R35)&gt;1,STDEV('Per-Trial Data'!$P35:$R35)/SQRT(COUNT('Per-Trial Data'!$P35:$R35)),0)</f>
        <v/>
      </c>
      <c r="O19" s="4">
        <f>M19-K19</f>
        <v/>
      </c>
      <c r="P19" s="10">
        <f>SQRT(L19^2+N19^2)</f>
        <v/>
      </c>
    </row>
    <row r="20">
      <c r="A20" s="3" t="inlineStr">
        <is>
          <t>5AAB</t>
        </is>
      </c>
      <c r="B20" s="3" t="inlineStr">
        <is>
          <t>Crizotinib</t>
        </is>
      </c>
      <c r="C20" s="3" t="inlineStr">
        <is>
          <t>ALK</t>
        </is>
      </c>
      <c r="D20" s="9">
        <f>AVERAGE('Per-Trial Data'!$D36:$F36)</f>
        <v/>
      </c>
      <c r="E20" s="4">
        <f>AVERAGE('Per-Trial Data'!$G36:$I36)</f>
        <v/>
      </c>
      <c r="F20" s="10">
        <f>IF(COUNT('Per-Trial Data'!$G36:$I36)&gt;1,STDEV('Per-Trial Data'!$G36:$I36)/SQRT(COUNT('Per-Trial Data'!$G36:$I36)),0)</f>
        <v/>
      </c>
      <c r="G20" s="4">
        <f>AVERAGE('Per-Trial Data'!$J36:$L36)</f>
        <v/>
      </c>
      <c r="H20" s="10">
        <f>IF(COUNT('Per-Trial Data'!$J36:$L36)&gt;1,STDEV('Per-Trial Data'!$J36:$L36)/SQRT(COUNT('Per-Trial Data'!$J36:$L36)),0)</f>
        <v/>
      </c>
      <c r="I20" s="4">
        <f>G20-E20</f>
        <v/>
      </c>
      <c r="J20" s="10">
        <f>SQRT(F20^2+H20^2)</f>
        <v/>
      </c>
      <c r="K20" s="4">
        <f>AVERAGE('Per-Trial Data'!$M36:$O36)</f>
        <v/>
      </c>
      <c r="L20" s="10">
        <f>IF(COUNT('Per-Trial Data'!$M36:$O36)&gt;1,STDEV('Per-Trial Data'!$M36:$O36)/SQRT(COUNT('Per-Trial Data'!$M36:$O36)),0)</f>
        <v/>
      </c>
      <c r="M20" s="4">
        <f>AVERAGE('Per-Trial Data'!$P36:$R36)</f>
        <v/>
      </c>
      <c r="N20" s="10">
        <f>IF(COUNT('Per-Trial Data'!$P36:$R36)&gt;1,STDEV('Per-Trial Data'!$P36:$R36)/SQRT(COUNT('Per-Trial Data'!$P36:$R36)),0)</f>
        <v/>
      </c>
      <c r="O20" s="4">
        <f>M20-K20</f>
        <v/>
      </c>
      <c r="P20" s="10">
        <f>SQRT(L20^2+N20^2)</f>
        <v/>
      </c>
    </row>
    <row r="21">
      <c r="A21" s="3" t="inlineStr">
        <is>
          <t>5AAC</t>
        </is>
      </c>
      <c r="B21" s="3" t="inlineStr">
        <is>
          <t>Crizotinib</t>
        </is>
      </c>
      <c r="C21" s="3" t="inlineStr">
        <is>
          <t>ALK</t>
        </is>
      </c>
      <c r="D21" s="9">
        <f>AVERAGE('Per-Trial Data'!$D37:$F37)</f>
        <v/>
      </c>
      <c r="E21" s="4">
        <f>AVERAGE('Per-Trial Data'!$G37:$I37)</f>
        <v/>
      </c>
      <c r="F21" s="10">
        <f>IF(COUNT('Per-Trial Data'!$G37:$I37)&gt;1,STDEV('Per-Trial Data'!$G37:$I37)/SQRT(COUNT('Per-Trial Data'!$G37:$I37)),0)</f>
        <v/>
      </c>
      <c r="G21" s="4">
        <f>AVERAGE('Per-Trial Data'!$J37:$L37)</f>
        <v/>
      </c>
      <c r="H21" s="10">
        <f>IF(COUNT('Per-Trial Data'!$J37:$L37)&gt;1,STDEV('Per-Trial Data'!$J37:$L37)/SQRT(COUNT('Per-Trial Data'!$J37:$L37)),0)</f>
        <v/>
      </c>
      <c r="I21" s="4">
        <f>G21-E21</f>
        <v/>
      </c>
      <c r="J21" s="10">
        <f>SQRT(F21^2+H21^2)</f>
        <v/>
      </c>
      <c r="K21" s="4">
        <f>AVERAGE('Per-Trial Data'!$M37:$O37)</f>
        <v/>
      </c>
      <c r="L21" s="10">
        <f>IF(COUNT('Per-Trial Data'!$M37:$O37)&gt;1,STDEV('Per-Trial Data'!$M37:$O37)/SQRT(COUNT('Per-Trial Data'!$M37:$O37)),0)</f>
        <v/>
      </c>
      <c r="M21" s="4">
        <f>AVERAGE('Per-Trial Data'!$P37:$R37)</f>
        <v/>
      </c>
      <c r="N21" s="10">
        <f>IF(COUNT('Per-Trial Data'!$P37:$R37)&gt;1,STDEV('Per-Trial Data'!$P37:$R37)/SQRT(COUNT('Per-Trial Data'!$P37:$R37)),0)</f>
        <v/>
      </c>
      <c r="O21" s="4">
        <f>M21-K21</f>
        <v/>
      </c>
      <c r="P21" s="10">
        <f>SQRT(L21^2+N21^2)</f>
        <v/>
      </c>
    </row>
    <row r="22">
      <c r="A22" s="7" t="n"/>
      <c r="B22" s="8" t="inlineStr">
        <is>
          <t>CDK6</t>
        </is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3" t="inlineStr">
        <is>
          <t>2EUF</t>
        </is>
      </c>
      <c r="B23" s="3" t="inlineStr">
        <is>
          <t>Palbociclib</t>
        </is>
      </c>
      <c r="C23" s="3" t="inlineStr">
        <is>
          <t>CDK6</t>
        </is>
      </c>
      <c r="D23" s="9">
        <f>AVERAGE('Per-Trial Data'!$D4:$F4)</f>
        <v/>
      </c>
      <c r="E23" s="4">
        <f>AVERAGE('Per-Trial Data'!$G4:$I4)</f>
        <v/>
      </c>
      <c r="F23" s="10">
        <f>IF(COUNT('Per-Trial Data'!$G4:$I4)&gt;1,STDEV('Per-Trial Data'!$G4:$I4)/SQRT(COUNT('Per-Trial Data'!$G4:$I4)),0)</f>
        <v/>
      </c>
      <c r="G23" s="4">
        <f>AVERAGE('Per-Trial Data'!$J4:$L4)</f>
        <v/>
      </c>
      <c r="H23" s="10">
        <f>IF(COUNT('Per-Trial Data'!$J4:$L4)&gt;1,STDEV('Per-Trial Data'!$J4:$L4)/SQRT(COUNT('Per-Trial Data'!$J4:$L4)),0)</f>
        <v/>
      </c>
      <c r="I23" s="4">
        <f>G23-E23</f>
        <v/>
      </c>
      <c r="J23" s="10">
        <f>SQRT(F23^2+H23^2)</f>
        <v/>
      </c>
      <c r="K23" s="4">
        <f>AVERAGE('Per-Trial Data'!$M4:$O4)</f>
        <v/>
      </c>
      <c r="L23" s="10">
        <f>IF(COUNT('Per-Trial Data'!$M4:$O4)&gt;1,STDEV('Per-Trial Data'!$M4:$O4)/SQRT(COUNT('Per-Trial Data'!$M4:$O4)),0)</f>
        <v/>
      </c>
      <c r="M23" s="4">
        <f>AVERAGE('Per-Trial Data'!$P4:$R4)</f>
        <v/>
      </c>
      <c r="N23" s="10">
        <f>IF(COUNT('Per-Trial Data'!$P4:$R4)&gt;1,STDEV('Per-Trial Data'!$P4:$R4)/SQRT(COUNT('Per-Trial Data'!$P4:$R4)),0)</f>
        <v/>
      </c>
      <c r="O23" s="4">
        <f>M23-K23</f>
        <v/>
      </c>
      <c r="P23" s="10">
        <f>SQRT(L23^2+N23^2)</f>
        <v/>
      </c>
    </row>
    <row r="24">
      <c r="A24" s="3" t="inlineStr">
        <is>
          <t>5L2I</t>
        </is>
      </c>
      <c r="B24" s="3" t="inlineStr">
        <is>
          <t>Palbociclib</t>
        </is>
      </c>
      <c r="C24" s="3" t="inlineStr">
        <is>
          <t>CDK6</t>
        </is>
      </c>
      <c r="D24" s="9">
        <f>AVERAGE('Per-Trial Data'!$D38:$F38)</f>
        <v/>
      </c>
      <c r="E24" s="4">
        <f>AVERAGE('Per-Trial Data'!$G38:$I38)</f>
        <v/>
      </c>
      <c r="F24" s="10">
        <f>IF(COUNT('Per-Trial Data'!$G38:$I38)&gt;1,STDEV('Per-Trial Data'!$G38:$I38)/SQRT(COUNT('Per-Trial Data'!$G38:$I38)),0)</f>
        <v/>
      </c>
      <c r="G24" s="4">
        <f>AVERAGE('Per-Trial Data'!$J38:$L38)</f>
        <v/>
      </c>
      <c r="H24" s="10">
        <f>IF(COUNT('Per-Trial Data'!$J38:$L38)&gt;1,STDEV('Per-Trial Data'!$J38:$L38)/SQRT(COUNT('Per-Trial Data'!$J38:$L38)),0)</f>
        <v/>
      </c>
      <c r="I24" s="4">
        <f>G24-E24</f>
        <v/>
      </c>
      <c r="J24" s="10">
        <f>SQRT(F24^2+H24^2)</f>
        <v/>
      </c>
      <c r="K24" s="4">
        <f>AVERAGE('Per-Trial Data'!$M38:$O38)</f>
        <v/>
      </c>
      <c r="L24" s="10">
        <f>IF(COUNT('Per-Trial Data'!$M38:$O38)&gt;1,STDEV('Per-Trial Data'!$M38:$O38)/SQRT(COUNT('Per-Trial Data'!$M38:$O38)),0)</f>
        <v/>
      </c>
      <c r="M24" s="4">
        <f>AVERAGE('Per-Trial Data'!$P38:$R38)</f>
        <v/>
      </c>
      <c r="N24" s="10">
        <f>IF(COUNT('Per-Trial Data'!$P38:$R38)&gt;1,STDEV('Per-Trial Data'!$P38:$R38)/SQRT(COUNT('Per-Trial Data'!$P38:$R38)),0)</f>
        <v/>
      </c>
      <c r="O24" s="4">
        <f>M24-K24</f>
        <v/>
      </c>
      <c r="P24" s="10">
        <f>SQRT(L24^2+N24^2)</f>
        <v/>
      </c>
    </row>
    <row r="25">
      <c r="A25" s="7" t="n"/>
      <c r="B25" s="8" t="inlineStr">
        <is>
          <t>DDR1</t>
        </is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3" t="inlineStr">
        <is>
          <t>3ZOS</t>
        </is>
      </c>
      <c r="B26" s="3" t="inlineStr">
        <is>
          <t>Ponatinib</t>
        </is>
      </c>
      <c r="C26" s="3" t="inlineStr">
        <is>
          <t>DDR1</t>
        </is>
      </c>
      <c r="D26" s="9">
        <f>AVERAGE('Per-Trial Data'!$D20:$F20)</f>
        <v/>
      </c>
      <c r="E26" s="4">
        <f>AVERAGE('Per-Trial Data'!$G20:$I20)</f>
        <v/>
      </c>
      <c r="F26" s="10">
        <f>IF(COUNT('Per-Trial Data'!$G20:$I20)&gt;1,STDEV('Per-Trial Data'!$G20:$I20)/SQRT(COUNT('Per-Trial Data'!$G20:$I20)),0)</f>
        <v/>
      </c>
      <c r="G26" s="4">
        <f>AVERAGE('Per-Trial Data'!$J20:$L20)</f>
        <v/>
      </c>
      <c r="H26" s="10">
        <f>IF(COUNT('Per-Trial Data'!$J20:$L20)&gt;1,STDEV('Per-Trial Data'!$J20:$L20)/SQRT(COUNT('Per-Trial Data'!$J20:$L20)),0)</f>
        <v/>
      </c>
      <c r="I26" s="4">
        <f>G26-E26</f>
        <v/>
      </c>
      <c r="J26" s="10">
        <f>SQRT(F26^2+H26^2)</f>
        <v/>
      </c>
      <c r="K26" s="4">
        <f>AVERAGE('Per-Trial Data'!$M20:$O20)</f>
        <v/>
      </c>
      <c r="L26" s="10">
        <f>IF(COUNT('Per-Trial Data'!$M20:$O20)&gt;1,STDEV('Per-Trial Data'!$M20:$O20)/SQRT(COUNT('Per-Trial Data'!$M20:$O20)),0)</f>
        <v/>
      </c>
      <c r="M26" s="4">
        <f>AVERAGE('Per-Trial Data'!$P20:$R20)</f>
        <v/>
      </c>
      <c r="N26" s="10">
        <f>IF(COUNT('Per-Trial Data'!$P20:$R20)&gt;1,STDEV('Per-Trial Data'!$P20:$R20)/SQRT(COUNT('Per-Trial Data'!$P20:$R20)),0)</f>
        <v/>
      </c>
      <c r="O26" s="4">
        <f>M26-K26</f>
        <v/>
      </c>
      <c r="P26" s="10">
        <f>SQRT(L26^2+N26^2)</f>
        <v/>
      </c>
    </row>
    <row r="27">
      <c r="A27" s="7" t="n"/>
      <c r="B27" s="8" t="inlineStr">
        <is>
          <t>EGFR</t>
        </is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3" t="inlineStr">
        <is>
          <t>1XKK</t>
        </is>
      </c>
      <c r="B28" s="3" t="inlineStr">
        <is>
          <t>Lapatinib</t>
        </is>
      </c>
      <c r="C28" s="3" t="inlineStr">
        <is>
          <t>EGFR</t>
        </is>
      </c>
      <c r="D28" s="9">
        <f>AVERAGE('Per-Trial Data'!$D3:$F3)</f>
        <v/>
      </c>
      <c r="E28" s="4">
        <f>AVERAGE('Per-Trial Data'!$G3:$I3)</f>
        <v/>
      </c>
      <c r="F28" s="10">
        <f>IF(COUNT('Per-Trial Data'!$G3:$I3)&gt;1,STDEV('Per-Trial Data'!$G3:$I3)/SQRT(COUNT('Per-Trial Data'!$G3:$I3)),0)</f>
        <v/>
      </c>
      <c r="G28" s="4">
        <f>AVERAGE('Per-Trial Data'!$J3:$L3)</f>
        <v/>
      </c>
      <c r="H28" s="10">
        <f>IF(COUNT('Per-Trial Data'!$J3:$L3)&gt;1,STDEV('Per-Trial Data'!$J3:$L3)/SQRT(COUNT('Per-Trial Data'!$J3:$L3)),0)</f>
        <v/>
      </c>
      <c r="I28" s="4">
        <f>G28-E28</f>
        <v/>
      </c>
      <c r="J28" s="10">
        <f>SQRT(F28^2+H28^2)</f>
        <v/>
      </c>
      <c r="K28" s="4">
        <f>AVERAGE('Per-Trial Data'!$M3:$O3)</f>
        <v/>
      </c>
      <c r="L28" s="10">
        <f>IF(COUNT('Per-Trial Data'!$M3:$O3)&gt;1,STDEV('Per-Trial Data'!$M3:$O3)/SQRT(COUNT('Per-Trial Data'!$M3:$O3)),0)</f>
        <v/>
      </c>
      <c r="M28" s="4">
        <f>AVERAGE('Per-Trial Data'!$P3:$R3)</f>
        <v/>
      </c>
      <c r="N28" s="10">
        <f>IF(COUNT('Per-Trial Data'!$P3:$R3)&gt;1,STDEV('Per-Trial Data'!$P3:$R3)/SQRT(COUNT('Per-Trial Data'!$P3:$R3)),0)</f>
        <v/>
      </c>
      <c r="O28" s="4">
        <f>M28-K28</f>
        <v/>
      </c>
      <c r="P28" s="10">
        <f>SQRT(L28^2+N28^2)</f>
        <v/>
      </c>
    </row>
    <row r="29">
      <c r="A29" s="3" t="inlineStr">
        <is>
          <t>2ITO</t>
        </is>
      </c>
      <c r="B29" s="3" t="inlineStr">
        <is>
          <t>Gefitinib</t>
        </is>
      </c>
      <c r="C29" s="3" t="inlineStr">
        <is>
          <t>EGFR</t>
        </is>
      </c>
      <c r="D29" s="9">
        <f>AVERAGE('Per-Trial Data'!$D6:$F6)</f>
        <v/>
      </c>
      <c r="E29" s="4">
        <f>AVERAGE('Per-Trial Data'!$G6:$I6)</f>
        <v/>
      </c>
      <c r="F29" s="10">
        <f>IF(COUNT('Per-Trial Data'!$G6:$I6)&gt;1,STDEV('Per-Trial Data'!$G6:$I6)/SQRT(COUNT('Per-Trial Data'!$G6:$I6)),0)</f>
        <v/>
      </c>
      <c r="G29" s="4">
        <f>AVERAGE('Per-Trial Data'!$J6:$L6)</f>
        <v/>
      </c>
      <c r="H29" s="10">
        <f>IF(COUNT('Per-Trial Data'!$J6:$L6)&gt;1,STDEV('Per-Trial Data'!$J6:$L6)/SQRT(COUNT('Per-Trial Data'!$J6:$L6)),0)</f>
        <v/>
      </c>
      <c r="I29" s="4">
        <f>G29-E29</f>
        <v/>
      </c>
      <c r="J29" s="10">
        <f>SQRT(F29^2+H29^2)</f>
        <v/>
      </c>
      <c r="K29" s="4">
        <f>AVERAGE('Per-Trial Data'!$M6:$O6)</f>
        <v/>
      </c>
      <c r="L29" s="10">
        <f>IF(COUNT('Per-Trial Data'!$M6:$O6)&gt;1,STDEV('Per-Trial Data'!$M6:$O6)/SQRT(COUNT('Per-Trial Data'!$M6:$O6)),0)</f>
        <v/>
      </c>
      <c r="M29" s="4">
        <f>AVERAGE('Per-Trial Data'!$P6:$R6)</f>
        <v/>
      </c>
      <c r="N29" s="10">
        <f>IF(COUNT('Per-Trial Data'!$P6:$R6)&gt;1,STDEV('Per-Trial Data'!$P6:$R6)/SQRT(COUNT('Per-Trial Data'!$P6:$R6)),0)</f>
        <v/>
      </c>
      <c r="O29" s="4">
        <f>M29-K29</f>
        <v/>
      </c>
      <c r="P29" s="10">
        <f>SQRT(L29^2+N29^2)</f>
        <v/>
      </c>
    </row>
    <row r="30">
      <c r="A30" s="3" t="inlineStr">
        <is>
          <t>2ITY</t>
        </is>
      </c>
      <c r="B30" s="3" t="inlineStr">
        <is>
          <t>Gefitinib</t>
        </is>
      </c>
      <c r="C30" s="3" t="inlineStr">
        <is>
          <t>EGFR</t>
        </is>
      </c>
      <c r="D30" s="9">
        <f>AVERAGE('Per-Trial Data'!$D7:$F7)</f>
        <v/>
      </c>
      <c r="E30" s="4">
        <f>AVERAGE('Per-Trial Data'!$G7:$I7)</f>
        <v/>
      </c>
      <c r="F30" s="10">
        <f>IF(COUNT('Per-Trial Data'!$G7:$I7)&gt;1,STDEV('Per-Trial Data'!$G7:$I7)/SQRT(COUNT('Per-Trial Data'!$G7:$I7)),0)</f>
        <v/>
      </c>
      <c r="G30" s="4">
        <f>AVERAGE('Per-Trial Data'!$J7:$L7)</f>
        <v/>
      </c>
      <c r="H30" s="10">
        <f>IF(COUNT('Per-Trial Data'!$J7:$L7)&gt;1,STDEV('Per-Trial Data'!$J7:$L7)/SQRT(COUNT('Per-Trial Data'!$J7:$L7)),0)</f>
        <v/>
      </c>
      <c r="I30" s="4">
        <f>G30-E30</f>
        <v/>
      </c>
      <c r="J30" s="10">
        <f>SQRT(F30^2+H30^2)</f>
        <v/>
      </c>
      <c r="K30" s="4">
        <f>AVERAGE('Per-Trial Data'!$M7:$O7)</f>
        <v/>
      </c>
      <c r="L30" s="10">
        <f>IF(COUNT('Per-Trial Data'!$M7:$O7)&gt;1,STDEV('Per-Trial Data'!$M7:$O7)/SQRT(COUNT('Per-Trial Data'!$M7:$O7)),0)</f>
        <v/>
      </c>
      <c r="M30" s="4">
        <f>AVERAGE('Per-Trial Data'!$P7:$R7)</f>
        <v/>
      </c>
      <c r="N30" s="10">
        <f>IF(COUNT('Per-Trial Data'!$P7:$R7)&gt;1,STDEV('Per-Trial Data'!$P7:$R7)/SQRT(COUNT('Per-Trial Data'!$P7:$R7)),0)</f>
        <v/>
      </c>
      <c r="O30" s="4">
        <f>M30-K30</f>
        <v/>
      </c>
      <c r="P30" s="10">
        <f>SQRT(L30^2+N30^2)</f>
        <v/>
      </c>
    </row>
    <row r="31">
      <c r="A31" s="3" t="inlineStr">
        <is>
          <t>2ITZ</t>
        </is>
      </c>
      <c r="B31" s="3" t="inlineStr">
        <is>
          <t>Gefitinib</t>
        </is>
      </c>
      <c r="C31" s="3" t="inlineStr">
        <is>
          <t>EGFR</t>
        </is>
      </c>
      <c r="D31" s="9">
        <f>AVERAGE('Per-Trial Data'!$D8:$F8)</f>
        <v/>
      </c>
      <c r="E31" s="4">
        <f>AVERAGE('Per-Trial Data'!$G8:$I8)</f>
        <v/>
      </c>
      <c r="F31" s="10">
        <f>IF(COUNT('Per-Trial Data'!$G8:$I8)&gt;1,STDEV('Per-Trial Data'!$G8:$I8)/SQRT(COUNT('Per-Trial Data'!$G8:$I8)),0)</f>
        <v/>
      </c>
      <c r="G31" s="4">
        <f>AVERAGE('Per-Trial Data'!$J8:$L8)</f>
        <v/>
      </c>
      <c r="H31" s="10">
        <f>IF(COUNT('Per-Trial Data'!$J8:$L8)&gt;1,STDEV('Per-Trial Data'!$J8:$L8)/SQRT(COUNT('Per-Trial Data'!$J8:$L8)),0)</f>
        <v/>
      </c>
      <c r="I31" s="4">
        <f>G31-E31</f>
        <v/>
      </c>
      <c r="J31" s="10">
        <f>SQRT(F31^2+H31^2)</f>
        <v/>
      </c>
      <c r="K31" s="4">
        <f>AVERAGE('Per-Trial Data'!$M8:$O8)</f>
        <v/>
      </c>
      <c r="L31" s="10">
        <f>IF(COUNT('Per-Trial Data'!$M8:$O8)&gt;1,STDEV('Per-Trial Data'!$M8:$O8)/SQRT(COUNT('Per-Trial Data'!$M8:$O8)),0)</f>
        <v/>
      </c>
      <c r="M31" s="4">
        <f>AVERAGE('Per-Trial Data'!$P8:$R8)</f>
        <v/>
      </c>
      <c r="N31" s="10">
        <f>IF(COUNT('Per-Trial Data'!$P8:$R8)&gt;1,STDEV('Per-Trial Data'!$P8:$R8)/SQRT(COUNT('Per-Trial Data'!$P8:$R8)),0)</f>
        <v/>
      </c>
      <c r="O31" s="4">
        <f>M31-K31</f>
        <v/>
      </c>
      <c r="P31" s="10">
        <f>SQRT(L31^2+N31^2)</f>
        <v/>
      </c>
    </row>
    <row r="32">
      <c r="A32" s="3" t="inlineStr">
        <is>
          <t>3UG2</t>
        </is>
      </c>
      <c r="B32" s="3" t="inlineStr">
        <is>
          <t>Gefitinib</t>
        </is>
      </c>
      <c r="C32" s="3" t="inlineStr">
        <is>
          <t>EGFR</t>
        </is>
      </c>
      <c r="D32" s="9">
        <f>AVERAGE('Per-Trial Data'!$D17:$F17)</f>
        <v/>
      </c>
      <c r="E32" s="4">
        <f>AVERAGE('Per-Trial Data'!$G17:$I17)</f>
        <v/>
      </c>
      <c r="F32" s="10">
        <f>IF(COUNT('Per-Trial Data'!$G17:$I17)&gt;1,STDEV('Per-Trial Data'!$G17:$I17)/SQRT(COUNT('Per-Trial Data'!$G17:$I17)),0)</f>
        <v/>
      </c>
      <c r="G32" s="4">
        <f>AVERAGE('Per-Trial Data'!$J17:$L17)</f>
        <v/>
      </c>
      <c r="H32" s="10">
        <f>IF(COUNT('Per-Trial Data'!$J17:$L17)&gt;1,STDEV('Per-Trial Data'!$J17:$L17)/SQRT(COUNT('Per-Trial Data'!$J17:$L17)),0)</f>
        <v/>
      </c>
      <c r="I32" s="4">
        <f>G32-E32</f>
        <v/>
      </c>
      <c r="J32" s="10">
        <f>SQRT(F32^2+H32^2)</f>
        <v/>
      </c>
      <c r="K32" s="4">
        <f>AVERAGE('Per-Trial Data'!$M17:$O17)</f>
        <v/>
      </c>
      <c r="L32" s="10">
        <f>IF(COUNT('Per-Trial Data'!$M17:$O17)&gt;1,STDEV('Per-Trial Data'!$M17:$O17)/SQRT(COUNT('Per-Trial Data'!$M17:$O17)),0)</f>
        <v/>
      </c>
      <c r="M32" s="4">
        <f>AVERAGE('Per-Trial Data'!$P17:$R17)</f>
        <v/>
      </c>
      <c r="N32" s="10">
        <f>IF(COUNT('Per-Trial Data'!$P17:$R17)&gt;1,STDEV('Per-Trial Data'!$P17:$R17)/SQRT(COUNT('Per-Trial Data'!$P17:$R17)),0)</f>
        <v/>
      </c>
      <c r="O32" s="4">
        <f>M32-K32</f>
        <v/>
      </c>
      <c r="P32" s="10">
        <f>SQRT(L32^2+N32^2)</f>
        <v/>
      </c>
    </row>
    <row r="33">
      <c r="A33" s="3" t="inlineStr">
        <is>
          <t>4G5J</t>
        </is>
      </c>
      <c r="B33" s="3" t="inlineStr">
        <is>
          <t>Afatinib</t>
        </is>
      </c>
      <c r="C33" s="3" t="inlineStr">
        <is>
          <t>EGFR</t>
        </is>
      </c>
      <c r="D33" s="9">
        <f>AVERAGE('Per-Trial Data'!$D28:$F28)</f>
        <v/>
      </c>
      <c r="E33" s="4">
        <f>AVERAGE('Per-Trial Data'!$G28:$I28)</f>
        <v/>
      </c>
      <c r="F33" s="10">
        <f>IF(COUNT('Per-Trial Data'!$G28:$I28)&gt;1,STDEV('Per-Trial Data'!$G28:$I28)/SQRT(COUNT('Per-Trial Data'!$G28:$I28)),0)</f>
        <v/>
      </c>
      <c r="G33" s="4">
        <f>AVERAGE('Per-Trial Data'!$J28:$L28)</f>
        <v/>
      </c>
      <c r="H33" s="10">
        <f>IF(COUNT('Per-Trial Data'!$J28:$L28)&gt;1,STDEV('Per-Trial Data'!$J28:$L28)/SQRT(COUNT('Per-Trial Data'!$J28:$L28)),0)</f>
        <v/>
      </c>
      <c r="I33" s="4">
        <f>G33-E33</f>
        <v/>
      </c>
      <c r="J33" s="10">
        <f>SQRT(F33^2+H33^2)</f>
        <v/>
      </c>
      <c r="K33" s="4">
        <f>AVERAGE('Per-Trial Data'!$M28:$O28)</f>
        <v/>
      </c>
      <c r="L33" s="10">
        <f>IF(COUNT('Per-Trial Data'!$M28:$O28)&gt;1,STDEV('Per-Trial Data'!$M28:$O28)/SQRT(COUNT('Per-Trial Data'!$M28:$O28)),0)</f>
        <v/>
      </c>
      <c r="M33" s="4">
        <f>AVERAGE('Per-Trial Data'!$P28:$R28)</f>
        <v/>
      </c>
      <c r="N33" s="10">
        <f>IF(COUNT('Per-Trial Data'!$P28:$R28)&gt;1,STDEV('Per-Trial Data'!$P28:$R28)/SQRT(COUNT('Per-Trial Data'!$P28:$R28)),0)</f>
        <v/>
      </c>
      <c r="O33" s="4">
        <f>M33-K33</f>
        <v/>
      </c>
      <c r="P33" s="10">
        <f>SQRT(L33^2+N33^2)</f>
        <v/>
      </c>
    </row>
    <row r="34">
      <c r="A34" s="3" t="inlineStr">
        <is>
          <t>4G5P</t>
        </is>
      </c>
      <c r="B34" s="3" t="inlineStr">
        <is>
          <t>Afatinib</t>
        </is>
      </c>
      <c r="C34" s="3" t="inlineStr">
        <is>
          <t>EGFR</t>
        </is>
      </c>
      <c r="D34" s="9">
        <f>AVERAGE('Per-Trial Data'!$D29:$F29)</f>
        <v/>
      </c>
      <c r="E34" s="4">
        <f>AVERAGE('Per-Trial Data'!$G29:$I29)</f>
        <v/>
      </c>
      <c r="F34" s="10">
        <f>IF(COUNT('Per-Trial Data'!$G29:$I29)&gt;1,STDEV('Per-Trial Data'!$G29:$I29)/SQRT(COUNT('Per-Trial Data'!$G29:$I29)),0)</f>
        <v/>
      </c>
      <c r="G34" s="4">
        <f>AVERAGE('Per-Trial Data'!$J29:$L29)</f>
        <v/>
      </c>
      <c r="H34" s="10">
        <f>IF(COUNT('Per-Trial Data'!$J29:$L29)&gt;1,STDEV('Per-Trial Data'!$J29:$L29)/SQRT(COUNT('Per-Trial Data'!$J29:$L29)),0)</f>
        <v/>
      </c>
      <c r="I34" s="4">
        <f>G34-E34</f>
        <v/>
      </c>
      <c r="J34" s="10">
        <f>SQRT(F34^2+H34^2)</f>
        <v/>
      </c>
      <c r="K34" s="4">
        <f>AVERAGE('Per-Trial Data'!$M29:$O29)</f>
        <v/>
      </c>
      <c r="L34" s="10">
        <f>IF(COUNT('Per-Trial Data'!$M29:$O29)&gt;1,STDEV('Per-Trial Data'!$M29:$O29)/SQRT(COUNT('Per-Trial Data'!$M29:$O29)),0)</f>
        <v/>
      </c>
      <c r="M34" s="4">
        <f>AVERAGE('Per-Trial Data'!$P29:$R29)</f>
        <v/>
      </c>
      <c r="N34" s="10">
        <f>IF(COUNT('Per-Trial Data'!$P29:$R29)&gt;1,STDEV('Per-Trial Data'!$P29:$R29)/SQRT(COUNT('Per-Trial Data'!$P29:$R29)),0)</f>
        <v/>
      </c>
      <c r="O34" s="4">
        <f>M34-K34</f>
        <v/>
      </c>
      <c r="P34" s="10">
        <f>SQRT(L34^2+N34^2)</f>
        <v/>
      </c>
    </row>
    <row r="35">
      <c r="A35" s="3" t="inlineStr">
        <is>
          <t>4I22</t>
        </is>
      </c>
      <c r="B35" s="3" t="inlineStr">
        <is>
          <t>Gefitinib</t>
        </is>
      </c>
      <c r="C35" s="3" t="inlineStr">
        <is>
          <t>EGFR</t>
        </is>
      </c>
      <c r="D35" s="9">
        <f>AVERAGE('Per-Trial Data'!$D30:$F30)</f>
        <v/>
      </c>
      <c r="E35" s="4">
        <f>AVERAGE('Per-Trial Data'!$G30:$I30)</f>
        <v/>
      </c>
      <c r="F35" s="10">
        <f>IF(COUNT('Per-Trial Data'!$G30:$I30)&gt;1,STDEV('Per-Trial Data'!$G30:$I30)/SQRT(COUNT('Per-Trial Data'!$G30:$I30)),0)</f>
        <v/>
      </c>
      <c r="G35" s="4">
        <f>AVERAGE('Per-Trial Data'!$J30:$L30)</f>
        <v/>
      </c>
      <c r="H35" s="10">
        <f>IF(COUNT('Per-Trial Data'!$J30:$L30)&gt;1,STDEV('Per-Trial Data'!$J30:$L30)/SQRT(COUNT('Per-Trial Data'!$J30:$L30)),0)</f>
        <v/>
      </c>
      <c r="I35" s="4">
        <f>G35-E35</f>
        <v/>
      </c>
      <c r="J35" s="10">
        <f>SQRT(F35^2+H35^2)</f>
        <v/>
      </c>
      <c r="K35" s="4">
        <f>AVERAGE('Per-Trial Data'!$M30:$O30)</f>
        <v/>
      </c>
      <c r="L35" s="10">
        <f>IF(COUNT('Per-Trial Data'!$M30:$O30)&gt;1,STDEV('Per-Trial Data'!$M30:$O30)/SQRT(COUNT('Per-Trial Data'!$M30:$O30)),0)</f>
        <v/>
      </c>
      <c r="M35" s="4">
        <f>AVERAGE('Per-Trial Data'!$P30:$R30)</f>
        <v/>
      </c>
      <c r="N35" s="10">
        <f>IF(COUNT('Per-Trial Data'!$P30:$R30)&gt;1,STDEV('Per-Trial Data'!$P30:$R30)/SQRT(COUNT('Per-Trial Data'!$P30:$R30)),0)</f>
        <v/>
      </c>
      <c r="O35" s="4">
        <f>M35-K35</f>
        <v/>
      </c>
      <c r="P35" s="10">
        <f>SQRT(L35^2+N35^2)</f>
        <v/>
      </c>
    </row>
    <row r="36">
      <c r="A36" s="3" t="inlineStr">
        <is>
          <t>4WKQ</t>
        </is>
      </c>
      <c r="B36" s="3" t="inlineStr">
        <is>
          <t>Gefitinib</t>
        </is>
      </c>
      <c r="C36" s="3" t="inlineStr">
        <is>
          <t>EGFR</t>
        </is>
      </c>
      <c r="D36" s="9">
        <f>AVERAGE('Per-Trial Data'!$D33:$F33)</f>
        <v/>
      </c>
      <c r="E36" s="4">
        <f>AVERAGE('Per-Trial Data'!$G33:$I33)</f>
        <v/>
      </c>
      <c r="F36" s="10">
        <f>IF(COUNT('Per-Trial Data'!$G33:$I33)&gt;1,STDEV('Per-Trial Data'!$G33:$I33)/SQRT(COUNT('Per-Trial Data'!$G33:$I33)),0)</f>
        <v/>
      </c>
      <c r="G36" s="4">
        <f>AVERAGE('Per-Trial Data'!$J33:$L33)</f>
        <v/>
      </c>
      <c r="H36" s="10">
        <f>IF(COUNT('Per-Trial Data'!$J33:$L33)&gt;1,STDEV('Per-Trial Data'!$J33:$L33)/SQRT(COUNT('Per-Trial Data'!$J33:$L33)),0)</f>
        <v/>
      </c>
      <c r="I36" s="4">
        <f>G36-E36</f>
        <v/>
      </c>
      <c r="J36" s="10">
        <f>SQRT(F36^2+H36^2)</f>
        <v/>
      </c>
      <c r="K36" s="4">
        <f>AVERAGE('Per-Trial Data'!$M33:$O33)</f>
        <v/>
      </c>
      <c r="L36" s="10">
        <f>IF(COUNT('Per-Trial Data'!$M33:$O33)&gt;1,STDEV('Per-Trial Data'!$M33:$O33)/SQRT(COUNT('Per-Trial Data'!$M33:$O33)),0)</f>
        <v/>
      </c>
      <c r="M36" s="4">
        <f>AVERAGE('Per-Trial Data'!$P33:$R33)</f>
        <v/>
      </c>
      <c r="N36" s="10">
        <f>IF(COUNT('Per-Trial Data'!$P33:$R33)&gt;1,STDEV('Per-Trial Data'!$P33:$R33)/SQRT(COUNT('Per-Trial Data'!$P33:$R33)),0)</f>
        <v/>
      </c>
      <c r="O36" s="4">
        <f>M36-K36</f>
        <v/>
      </c>
      <c r="P36" s="10">
        <f>SQRT(L36^2+N36^2)</f>
        <v/>
      </c>
    </row>
    <row r="37">
      <c r="A37" s="3" t="inlineStr">
        <is>
          <t>4ZAU</t>
        </is>
      </c>
      <c r="B37" s="3" t="inlineStr">
        <is>
          <t>Osimertinib</t>
        </is>
      </c>
      <c r="C37" s="3" t="inlineStr">
        <is>
          <t>EGFR</t>
        </is>
      </c>
      <c r="D37" s="9">
        <f>AVERAGE('Per-Trial Data'!$D34:$F34)</f>
        <v/>
      </c>
      <c r="E37" s="4">
        <f>AVERAGE('Per-Trial Data'!$G34:$I34)</f>
        <v/>
      </c>
      <c r="F37" s="10">
        <f>IF(COUNT('Per-Trial Data'!$G34:$I34)&gt;1,STDEV('Per-Trial Data'!$G34:$I34)/SQRT(COUNT('Per-Trial Data'!$G34:$I34)),0)</f>
        <v/>
      </c>
      <c r="G37" s="4">
        <f>AVERAGE('Per-Trial Data'!$J34:$L34)</f>
        <v/>
      </c>
      <c r="H37" s="10">
        <f>IF(COUNT('Per-Trial Data'!$J34:$L34)&gt;1,STDEV('Per-Trial Data'!$J34:$L34)/SQRT(COUNT('Per-Trial Data'!$J34:$L34)),0)</f>
        <v/>
      </c>
      <c r="I37" s="4">
        <f>G37-E37</f>
        <v/>
      </c>
      <c r="J37" s="10">
        <f>SQRT(F37^2+H37^2)</f>
        <v/>
      </c>
      <c r="K37" s="4">
        <f>AVERAGE('Per-Trial Data'!$M34:$O34)</f>
        <v/>
      </c>
      <c r="L37" s="10">
        <f>IF(COUNT('Per-Trial Data'!$M34:$O34)&gt;1,STDEV('Per-Trial Data'!$M34:$O34)/SQRT(COUNT('Per-Trial Data'!$M34:$O34)),0)</f>
        <v/>
      </c>
      <c r="M37" s="4">
        <f>AVERAGE('Per-Trial Data'!$P34:$R34)</f>
        <v/>
      </c>
      <c r="N37" s="10">
        <f>IF(COUNT('Per-Trial Data'!$P34:$R34)&gt;1,STDEV('Per-Trial Data'!$P34:$R34)/SQRT(COUNT('Per-Trial Data'!$P34:$R34)),0)</f>
        <v/>
      </c>
      <c r="O37" s="4">
        <f>M37-K37</f>
        <v/>
      </c>
      <c r="P37" s="10">
        <f>SQRT(L37^2+N37^2)</f>
        <v/>
      </c>
    </row>
    <row r="38">
      <c r="A38" s="7" t="n"/>
      <c r="B38" s="8" t="inlineStr">
        <is>
          <t>JAK3</t>
        </is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3" t="inlineStr">
        <is>
          <t>3LXK</t>
        </is>
      </c>
      <c r="B39" s="3" t="inlineStr">
        <is>
          <t>Tofacitinib</t>
        </is>
      </c>
      <c r="C39" s="3" t="inlineStr">
        <is>
          <t>JAK3</t>
        </is>
      </c>
      <c r="D39" s="9">
        <f>AVERAGE('Per-Trial Data'!$D14:$F14)</f>
        <v/>
      </c>
      <c r="E39" s="4">
        <f>AVERAGE('Per-Trial Data'!$G14:$I14)</f>
        <v/>
      </c>
      <c r="F39" s="10">
        <f>IF(COUNT('Per-Trial Data'!$G14:$I14)&gt;1,STDEV('Per-Trial Data'!$G14:$I14)/SQRT(COUNT('Per-Trial Data'!$G14:$I14)),0)</f>
        <v/>
      </c>
      <c r="G39" s="4">
        <f>AVERAGE('Per-Trial Data'!$J14:$L14)</f>
        <v/>
      </c>
      <c r="H39" s="10">
        <f>IF(COUNT('Per-Trial Data'!$J14:$L14)&gt;1,STDEV('Per-Trial Data'!$J14:$L14)/SQRT(COUNT('Per-Trial Data'!$J14:$L14)),0)</f>
        <v/>
      </c>
      <c r="I39" s="4">
        <f>G39-E39</f>
        <v/>
      </c>
      <c r="J39" s="10">
        <f>SQRT(F39^2+H39^2)</f>
        <v/>
      </c>
      <c r="K39" s="4">
        <f>AVERAGE('Per-Trial Data'!$M14:$O14)</f>
        <v/>
      </c>
      <c r="L39" s="10">
        <f>IF(COUNT('Per-Trial Data'!$M14:$O14)&gt;1,STDEV('Per-Trial Data'!$M14:$O14)/SQRT(COUNT('Per-Trial Data'!$M14:$O14)),0)</f>
        <v/>
      </c>
      <c r="M39" s="4">
        <f>AVERAGE('Per-Trial Data'!$P14:$R14)</f>
        <v/>
      </c>
      <c r="N39" s="10">
        <f>IF(COUNT('Per-Trial Data'!$P14:$R14)&gt;1,STDEV('Per-Trial Data'!$P14:$R14)/SQRT(COUNT('Per-Trial Data'!$P14:$R14)),0)</f>
        <v/>
      </c>
      <c r="O39" s="4">
        <f>M39-K39</f>
        <v/>
      </c>
      <c r="P39" s="10">
        <f>SQRT(L39^2+N39^2)</f>
        <v/>
      </c>
    </row>
    <row r="40">
      <c r="A40" s="7" t="n"/>
      <c r="B40" s="8" t="inlineStr">
        <is>
          <t>MEK</t>
        </is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3" t="inlineStr">
        <is>
          <t>4AN2</t>
        </is>
      </c>
      <c r="B41" s="3" t="inlineStr">
        <is>
          <t>Cobimetinib</t>
        </is>
      </c>
      <c r="C41" s="3" t="inlineStr">
        <is>
          <t>MEK</t>
        </is>
      </c>
      <c r="D41" s="9">
        <f>AVERAGE('Per-Trial Data'!$D24:$F24)</f>
        <v/>
      </c>
      <c r="E41" s="4">
        <f>AVERAGE('Per-Trial Data'!$G24:$I24)</f>
        <v/>
      </c>
      <c r="F41" s="10">
        <f>IF(COUNT('Per-Trial Data'!$G24:$I24)&gt;1,STDEV('Per-Trial Data'!$G24:$I24)/SQRT(COUNT('Per-Trial Data'!$G24:$I24)),0)</f>
        <v/>
      </c>
      <c r="G41" s="4">
        <f>AVERAGE('Per-Trial Data'!$J24:$L24)</f>
        <v/>
      </c>
      <c r="H41" s="10">
        <f>IF(COUNT('Per-Trial Data'!$J24:$L24)&gt;1,STDEV('Per-Trial Data'!$J24:$L24)/SQRT(COUNT('Per-Trial Data'!$J24:$L24)),0)</f>
        <v/>
      </c>
      <c r="I41" s="4">
        <f>G41-E41</f>
        <v/>
      </c>
      <c r="J41" s="10">
        <f>SQRT(F41^2+H41^2)</f>
        <v/>
      </c>
      <c r="K41" s="4">
        <f>AVERAGE('Per-Trial Data'!$M24:$O24)</f>
        <v/>
      </c>
      <c r="L41" s="10">
        <f>IF(COUNT('Per-Trial Data'!$M24:$O24)&gt;1,STDEV('Per-Trial Data'!$M24:$O24)/SQRT(COUNT('Per-Trial Data'!$M24:$O24)),0)</f>
        <v/>
      </c>
      <c r="M41" s="4">
        <f>AVERAGE('Per-Trial Data'!$P24:$R24)</f>
        <v/>
      </c>
      <c r="N41" s="10">
        <f>IF(COUNT('Per-Trial Data'!$P24:$R24)&gt;1,STDEV('Per-Trial Data'!$P24:$R24)/SQRT(COUNT('Per-Trial Data'!$P24:$R24)),0)</f>
        <v/>
      </c>
      <c r="O41" s="4">
        <f>M41-K41</f>
        <v/>
      </c>
      <c r="P41" s="10">
        <f>SQRT(L41^2+N41^2)</f>
        <v/>
      </c>
    </row>
    <row r="42">
      <c r="A42" s="3" t="inlineStr">
        <is>
          <t>4LMN</t>
        </is>
      </c>
      <c r="B42" s="3" t="inlineStr">
        <is>
          <t>Cobimetinib</t>
        </is>
      </c>
      <c r="C42" s="3" t="inlineStr">
        <is>
          <t>MEK</t>
        </is>
      </c>
      <c r="D42" s="9">
        <f>AVERAGE('Per-Trial Data'!$D31:$F31)</f>
        <v/>
      </c>
      <c r="E42" s="4">
        <f>AVERAGE('Per-Trial Data'!$G31:$I31)</f>
        <v/>
      </c>
      <c r="F42" s="10">
        <f>IF(COUNT('Per-Trial Data'!$G31:$I31)&gt;1,STDEV('Per-Trial Data'!$G31:$I31)/SQRT(COUNT('Per-Trial Data'!$G31:$I31)),0)</f>
        <v/>
      </c>
      <c r="G42" s="4">
        <f>AVERAGE('Per-Trial Data'!$J31:$L31)</f>
        <v/>
      </c>
      <c r="H42" s="10">
        <f>IF(COUNT('Per-Trial Data'!$J31:$L31)&gt;1,STDEV('Per-Trial Data'!$J31:$L31)/SQRT(COUNT('Per-Trial Data'!$J31:$L31)),0)</f>
        <v/>
      </c>
      <c r="I42" s="4">
        <f>G42-E42</f>
        <v/>
      </c>
      <c r="J42" s="10">
        <f>SQRT(F42^2+H42^2)</f>
        <v/>
      </c>
      <c r="K42" s="4">
        <f>AVERAGE('Per-Trial Data'!$M31:$O31)</f>
        <v/>
      </c>
      <c r="L42" s="10">
        <f>IF(COUNT('Per-Trial Data'!$M31:$O31)&gt;1,STDEV('Per-Trial Data'!$M31:$O31)/SQRT(COUNT('Per-Trial Data'!$M31:$O31)),0)</f>
        <v/>
      </c>
      <c r="M42" s="4">
        <f>AVERAGE('Per-Trial Data'!$P31:$R31)</f>
        <v/>
      </c>
      <c r="N42" s="10">
        <f>IF(COUNT('Per-Trial Data'!$P31:$R31)&gt;1,STDEV('Per-Trial Data'!$P31:$R31)/SQRT(COUNT('Per-Trial Data'!$P31:$R31)),0)</f>
        <v/>
      </c>
      <c r="O42" s="4">
        <f>M42-K42</f>
        <v/>
      </c>
      <c r="P42" s="10">
        <f>SQRT(L42^2+N42^2)</f>
        <v/>
      </c>
    </row>
    <row r="43">
      <c r="A43" s="7" t="n"/>
      <c r="B43" s="8" t="inlineStr">
        <is>
          <t>MET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3" t="inlineStr">
        <is>
          <t>2WGJ</t>
        </is>
      </c>
      <c r="B44" s="3" t="inlineStr">
        <is>
          <t>Crizotinib</t>
        </is>
      </c>
      <c r="C44" s="3" t="inlineStr">
        <is>
          <t>MET</t>
        </is>
      </c>
      <c r="D44" s="9">
        <f>AVERAGE('Per-Trial Data'!$D9:$F9)</f>
        <v/>
      </c>
      <c r="E44" s="4">
        <f>AVERAGE('Per-Trial Data'!$G9:$I9)</f>
        <v/>
      </c>
      <c r="F44" s="10">
        <f>IF(COUNT('Per-Trial Data'!$G9:$I9)&gt;1,STDEV('Per-Trial Data'!$G9:$I9)/SQRT(COUNT('Per-Trial Data'!$G9:$I9)),0)</f>
        <v/>
      </c>
      <c r="G44" s="4">
        <f>AVERAGE('Per-Trial Data'!$J9:$L9)</f>
        <v/>
      </c>
      <c r="H44" s="10">
        <f>IF(COUNT('Per-Trial Data'!$J9:$L9)&gt;1,STDEV('Per-Trial Data'!$J9:$L9)/SQRT(COUNT('Per-Trial Data'!$J9:$L9)),0)</f>
        <v/>
      </c>
      <c r="I44" s="4">
        <f>G44-E44</f>
        <v/>
      </c>
      <c r="J44" s="10">
        <f>SQRT(F44^2+H44^2)</f>
        <v/>
      </c>
      <c r="K44" s="4">
        <f>AVERAGE('Per-Trial Data'!$M9:$O9)</f>
        <v/>
      </c>
      <c r="L44" s="10">
        <f>IF(COUNT('Per-Trial Data'!$M9:$O9)&gt;1,STDEV('Per-Trial Data'!$M9:$O9)/SQRT(COUNT('Per-Trial Data'!$M9:$O9)),0)</f>
        <v/>
      </c>
      <c r="M44" s="4">
        <f>AVERAGE('Per-Trial Data'!$P9:$R9)</f>
        <v/>
      </c>
      <c r="N44" s="10">
        <f>IF(COUNT('Per-Trial Data'!$P9:$R9)&gt;1,STDEV('Per-Trial Data'!$P9:$R9)/SQRT(COUNT('Per-Trial Data'!$P9:$R9)),0)</f>
        <v/>
      </c>
      <c r="O44" s="4">
        <f>M44-K44</f>
        <v/>
      </c>
      <c r="P44" s="10">
        <f>SQRT(L44^2+N44^2)</f>
        <v/>
      </c>
    </row>
    <row r="45">
      <c r="A45" s="7" t="n"/>
      <c r="B45" s="8" t="inlineStr">
        <is>
          <t>VGFR</t>
        </is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3" t="inlineStr">
        <is>
          <t>3WZD</t>
        </is>
      </c>
      <c r="B46" s="3" t="inlineStr">
        <is>
          <t>Lenvatinib</t>
        </is>
      </c>
      <c r="C46" s="3" t="inlineStr">
        <is>
          <t>VGFR</t>
        </is>
      </c>
      <c r="D46" s="9">
        <f>AVERAGE('Per-Trial Data'!$D18:$F18)</f>
        <v/>
      </c>
      <c r="E46" s="4">
        <f>AVERAGE('Per-Trial Data'!$G18:$I18)</f>
        <v/>
      </c>
      <c r="F46" s="10">
        <f>IF(COUNT('Per-Trial Data'!$G18:$I18)&gt;1,STDEV('Per-Trial Data'!$G18:$I18)/SQRT(COUNT('Per-Trial Data'!$G18:$I18)),0)</f>
        <v/>
      </c>
      <c r="G46" s="4">
        <f>AVERAGE('Per-Trial Data'!$J18:$L18)</f>
        <v/>
      </c>
      <c r="H46" s="10">
        <f>IF(COUNT('Per-Trial Data'!$J18:$L18)&gt;1,STDEV('Per-Trial Data'!$J18:$L18)/SQRT(COUNT('Per-Trial Data'!$J18:$L18)),0)</f>
        <v/>
      </c>
      <c r="I46" s="4">
        <f>G46-E46</f>
        <v/>
      </c>
      <c r="J46" s="10">
        <f>SQRT(F46^2+H46^2)</f>
        <v/>
      </c>
      <c r="K46" s="4">
        <f>AVERAGE('Per-Trial Data'!$M18:$O18)</f>
        <v/>
      </c>
      <c r="L46" s="10">
        <f>IF(COUNT('Per-Trial Data'!$M18:$O18)&gt;1,STDEV('Per-Trial Data'!$M18:$O18)/SQRT(COUNT('Per-Trial Data'!$M18:$O18)),0)</f>
        <v/>
      </c>
      <c r="M46" s="4">
        <f>AVERAGE('Per-Trial Data'!$P18:$R18)</f>
        <v/>
      </c>
      <c r="N46" s="10">
        <f>IF(COUNT('Per-Trial Data'!$P18:$R18)&gt;1,STDEV('Per-Trial Data'!$P18:$R18)/SQRT(COUNT('Per-Trial Data'!$P18:$R18)),0)</f>
        <v/>
      </c>
      <c r="O46" s="4">
        <f>M46-K46</f>
        <v/>
      </c>
      <c r="P46" s="10">
        <f>SQRT(L46^2+N46^2)</f>
        <v/>
      </c>
    </row>
    <row r="47">
      <c r="A47" s="3" t="inlineStr">
        <is>
          <t>3WZE</t>
        </is>
      </c>
      <c r="B47" s="3" t="inlineStr">
        <is>
          <t>Sorafenib</t>
        </is>
      </c>
      <c r="C47" s="3" t="inlineStr">
        <is>
          <t>VGFR</t>
        </is>
      </c>
      <c r="D47" s="9">
        <f>AVERAGE('Per-Trial Data'!$D19:$F19)</f>
        <v/>
      </c>
      <c r="E47" s="4">
        <f>AVERAGE('Per-Trial Data'!$G19:$I19)</f>
        <v/>
      </c>
      <c r="F47" s="10">
        <f>IF(COUNT('Per-Trial Data'!$G19:$I19)&gt;1,STDEV('Per-Trial Data'!$G19:$I19)/SQRT(COUNT('Per-Trial Data'!$G19:$I19)),0)</f>
        <v/>
      </c>
      <c r="G47" s="4">
        <f>AVERAGE('Per-Trial Data'!$J19:$L19)</f>
        <v/>
      </c>
      <c r="H47" s="10">
        <f>IF(COUNT('Per-Trial Data'!$J19:$L19)&gt;1,STDEV('Per-Trial Data'!$J19:$L19)/SQRT(COUNT('Per-Trial Data'!$J19:$L19)),0)</f>
        <v/>
      </c>
      <c r="I47" s="4">
        <f>G47-E47</f>
        <v/>
      </c>
      <c r="J47" s="10">
        <f>SQRT(F47^2+H47^2)</f>
        <v/>
      </c>
      <c r="K47" s="4">
        <f>AVERAGE('Per-Trial Data'!$M19:$O19)</f>
        <v/>
      </c>
      <c r="L47" s="10">
        <f>IF(COUNT('Per-Trial Data'!$M19:$O19)&gt;1,STDEV('Per-Trial Data'!$M19:$O19)/SQRT(COUNT('Per-Trial Data'!$M19:$O19)),0)</f>
        <v/>
      </c>
      <c r="M47" s="4">
        <f>AVERAGE('Per-Trial Data'!$P19:$R19)</f>
        <v/>
      </c>
      <c r="N47" s="10">
        <f>IF(COUNT('Per-Trial Data'!$P19:$R19)&gt;1,STDEV('Per-Trial Data'!$P19:$R19)/SQRT(COUNT('Per-Trial Data'!$P19:$R19)),0)</f>
        <v/>
      </c>
      <c r="O47" s="4">
        <f>M47-K47</f>
        <v/>
      </c>
      <c r="P47" s="10">
        <f>SQRT(L47^2+N47^2)</f>
        <v/>
      </c>
    </row>
    <row r="48">
      <c r="A48" s="3" t="inlineStr">
        <is>
          <t>4AG8</t>
        </is>
      </c>
      <c r="B48" s="3" t="inlineStr">
        <is>
          <t>Axitinib</t>
        </is>
      </c>
      <c r="C48" s="3" t="inlineStr">
        <is>
          <t>VGFR</t>
        </is>
      </c>
      <c r="D48" s="9">
        <f>AVERAGE('Per-Trial Data'!$D21:$F21)</f>
        <v/>
      </c>
      <c r="E48" s="4">
        <f>AVERAGE('Per-Trial Data'!$G21:$I21)</f>
        <v/>
      </c>
      <c r="F48" s="10">
        <f>IF(COUNT('Per-Trial Data'!$G21:$I21)&gt;1,STDEV('Per-Trial Data'!$G21:$I21)/SQRT(COUNT('Per-Trial Data'!$G21:$I21)),0)</f>
        <v/>
      </c>
      <c r="G48" s="4">
        <f>AVERAGE('Per-Trial Data'!$J21:$L21)</f>
        <v/>
      </c>
      <c r="H48" s="10">
        <f>IF(COUNT('Per-Trial Data'!$J21:$L21)&gt;1,STDEV('Per-Trial Data'!$J21:$L21)/SQRT(COUNT('Per-Trial Data'!$J21:$L21)),0)</f>
        <v/>
      </c>
      <c r="I48" s="4">
        <f>G48-E48</f>
        <v/>
      </c>
      <c r="J48" s="10">
        <f>SQRT(F48^2+H48^2)</f>
        <v/>
      </c>
      <c r="K48" s="4">
        <f>AVERAGE('Per-Trial Data'!$M21:$O21)</f>
        <v/>
      </c>
      <c r="L48" s="10">
        <f>IF(COUNT('Per-Trial Data'!$M21:$O21)&gt;1,STDEV('Per-Trial Data'!$M21:$O21)/SQRT(COUNT('Per-Trial Data'!$M21:$O21)),0)</f>
        <v/>
      </c>
      <c r="M48" s="4">
        <f>AVERAGE('Per-Trial Data'!$P21:$R21)</f>
        <v/>
      </c>
      <c r="N48" s="10">
        <f>IF(COUNT('Per-Trial Data'!$P21:$R21)&gt;1,STDEV('Per-Trial Data'!$P21:$R21)/SQRT(COUNT('Per-Trial Data'!$P21:$R21)),0)</f>
        <v/>
      </c>
      <c r="O48" s="4">
        <f>M48-K48</f>
        <v/>
      </c>
      <c r="P48" s="10">
        <f>SQRT(L48^2+N48^2)</f>
        <v/>
      </c>
    </row>
    <row r="49">
      <c r="A49" s="3" t="inlineStr">
        <is>
          <t>4AGC</t>
        </is>
      </c>
      <c r="B49" s="3" t="inlineStr">
        <is>
          <t>Axitinib</t>
        </is>
      </c>
      <c r="C49" s="3" t="inlineStr">
        <is>
          <t>VGFR</t>
        </is>
      </c>
      <c r="D49" s="9">
        <f>AVERAGE('Per-Trial Data'!$D22:$F22)</f>
        <v/>
      </c>
      <c r="E49" s="4">
        <f>AVERAGE('Per-Trial Data'!$G22:$I22)</f>
        <v/>
      </c>
      <c r="F49" s="10">
        <f>IF(COUNT('Per-Trial Data'!$G22:$I22)&gt;1,STDEV('Per-Trial Data'!$G22:$I22)/SQRT(COUNT('Per-Trial Data'!$G22:$I22)),0)</f>
        <v/>
      </c>
      <c r="G49" s="4">
        <f>AVERAGE('Per-Trial Data'!$J22:$L22)</f>
        <v/>
      </c>
      <c r="H49" s="10">
        <f>IF(COUNT('Per-Trial Data'!$J22:$L22)&gt;1,STDEV('Per-Trial Data'!$J22:$L22)/SQRT(COUNT('Per-Trial Data'!$J22:$L22)),0)</f>
        <v/>
      </c>
      <c r="I49" s="4">
        <f>G49-E49</f>
        <v/>
      </c>
      <c r="J49" s="10">
        <f>SQRT(F49^2+H49^2)</f>
        <v/>
      </c>
      <c r="K49" s="4">
        <f>AVERAGE('Per-Trial Data'!$M22:$O22)</f>
        <v/>
      </c>
      <c r="L49" s="10">
        <f>IF(COUNT('Per-Trial Data'!$M22:$O22)&gt;1,STDEV('Per-Trial Data'!$M22:$O22)/SQRT(COUNT('Per-Trial Data'!$M22:$O22)),0)</f>
        <v/>
      </c>
      <c r="M49" s="4">
        <f>AVERAGE('Per-Trial Data'!$P22:$R22)</f>
        <v/>
      </c>
      <c r="N49" s="10">
        <f>IF(COUNT('Per-Trial Data'!$P22:$R22)&gt;1,STDEV('Per-Trial Data'!$P22:$R22)/SQRT(COUNT('Per-Trial Data'!$P22:$R22)),0)</f>
        <v/>
      </c>
      <c r="O49" s="4">
        <f>M49-K49</f>
        <v/>
      </c>
      <c r="P49" s="10">
        <f>SQRT(L49^2+N49^2)</f>
        <v/>
      </c>
    </row>
    <row r="50">
      <c r="A50" s="3" t="inlineStr">
        <is>
          <t>4AGD</t>
        </is>
      </c>
      <c r="B50" s="3" t="inlineStr">
        <is>
          <t>Sunitinib</t>
        </is>
      </c>
      <c r="C50" s="3" t="inlineStr">
        <is>
          <t>VGFR</t>
        </is>
      </c>
      <c r="D50" s="9">
        <f>AVERAGE('Per-Trial Data'!$D23:$F23)</f>
        <v/>
      </c>
      <c r="E50" s="4">
        <f>AVERAGE('Per-Trial Data'!$G23:$I23)</f>
        <v/>
      </c>
      <c r="F50" s="10">
        <f>IF(COUNT('Per-Trial Data'!$G23:$I23)&gt;1,STDEV('Per-Trial Data'!$G23:$I23)/SQRT(COUNT('Per-Trial Data'!$G23:$I23)),0)</f>
        <v/>
      </c>
      <c r="G50" s="4">
        <f>AVERAGE('Per-Trial Data'!$J23:$L23)</f>
        <v/>
      </c>
      <c r="H50" s="10">
        <f>IF(COUNT('Per-Trial Data'!$J23:$L23)&gt;1,STDEV('Per-Trial Data'!$J23:$L23)/SQRT(COUNT('Per-Trial Data'!$J23:$L23)),0)</f>
        <v/>
      </c>
      <c r="I50" s="4">
        <f>G50-E50</f>
        <v/>
      </c>
      <c r="J50" s="10">
        <f>SQRT(F50^2+H50^2)</f>
        <v/>
      </c>
      <c r="K50" s="4">
        <f>AVERAGE('Per-Trial Data'!$M23:$O23)</f>
        <v/>
      </c>
      <c r="L50" s="10">
        <f>IF(COUNT('Per-Trial Data'!$M23:$O23)&gt;1,STDEV('Per-Trial Data'!$M23:$O23)/SQRT(COUNT('Per-Trial Data'!$M23:$O23)),0)</f>
        <v/>
      </c>
      <c r="M50" s="4">
        <f>AVERAGE('Per-Trial Data'!$P23:$R23)</f>
        <v/>
      </c>
      <c r="N50" s="10">
        <f>IF(COUNT('Per-Trial Data'!$P23:$R23)&gt;1,STDEV('Per-Trial Data'!$P23:$R23)/SQRT(COUNT('Per-Trial Data'!$P23:$R23)),0)</f>
        <v/>
      </c>
      <c r="O50" s="4">
        <f>M50-K50</f>
        <v/>
      </c>
      <c r="P50" s="10">
        <f>SQRT(L50^2+N50^2)</f>
        <v/>
      </c>
    </row>
    <row r="51">
      <c r="A51" s="3" t="inlineStr">
        <is>
          <t>4ASD</t>
        </is>
      </c>
      <c r="B51" s="3" t="inlineStr">
        <is>
          <t>Sorafenib</t>
        </is>
      </c>
      <c r="C51" s="3" t="inlineStr">
        <is>
          <t>VGFR</t>
        </is>
      </c>
      <c r="D51" s="9">
        <f>AVERAGE('Per-Trial Data'!$D27:$F27)</f>
        <v/>
      </c>
      <c r="E51" s="4">
        <f>AVERAGE('Per-Trial Data'!$G27:$I27)</f>
        <v/>
      </c>
      <c r="F51" s="10">
        <f>IF(COUNT('Per-Trial Data'!$G27:$I27)&gt;1,STDEV('Per-Trial Data'!$G27:$I27)/SQRT(COUNT('Per-Trial Data'!$G27:$I27)),0)</f>
        <v/>
      </c>
      <c r="G51" s="4">
        <f>AVERAGE('Per-Trial Data'!$J27:$L27)</f>
        <v/>
      </c>
      <c r="H51" s="10">
        <f>IF(COUNT('Per-Trial Data'!$J27:$L27)&gt;1,STDEV('Per-Trial Data'!$J27:$L27)/SQRT(COUNT('Per-Trial Data'!$J27:$L27)),0)</f>
        <v/>
      </c>
      <c r="I51" s="4">
        <f>G51-E51</f>
        <v/>
      </c>
      <c r="J51" s="10">
        <f>SQRT(F51^2+H51^2)</f>
        <v/>
      </c>
      <c r="K51" s="4">
        <f>AVERAGE('Per-Trial Data'!$M27:$O27)</f>
        <v/>
      </c>
      <c r="L51" s="10">
        <f>IF(COUNT('Per-Trial Data'!$M27:$O27)&gt;1,STDEV('Per-Trial Data'!$M27:$O27)/SQRT(COUNT('Per-Trial Data'!$M27:$O27)),0)</f>
        <v/>
      </c>
      <c r="M51" s="4">
        <f>AVERAGE('Per-Trial Data'!$P27:$R27)</f>
        <v/>
      </c>
      <c r="N51" s="10">
        <f>IF(COUNT('Per-Trial Data'!$P27:$R27)&gt;1,STDEV('Per-Trial Data'!$P27:$R27)/SQRT(COUNT('Per-Trial Data'!$P27:$R27)),0)</f>
        <v/>
      </c>
      <c r="O51" s="4">
        <f>M51-K51</f>
        <v/>
      </c>
      <c r="P51" s="10">
        <f>SQRT(L51^2+N51^2)</f>
        <v/>
      </c>
    </row>
    <row r="53">
      <c r="A53" s="5" t="inlineStr">
        <is>
          <t>∆crg columns are differences of the trial means; their ± is the propagated SEM √(a²+b²). The residue-level holo−apo difference is instead paired within each trial — see Methods.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6" t="inlineStr">
        <is>
          <t>Methods: how the Trials statistics were computed</t>
        </is>
      </c>
    </row>
    <row r="2">
      <c r="A2" s="5" t="inlineStr">
        <is>
          <t>Generated 2026-09-22 19:29:54 by make_trials_tables_xlsx.py</t>
        </is>
      </c>
    </row>
    <row r="4">
      <c r="A4" s="6" t="inlineStr">
        <is>
          <t>Replicates</t>
        </is>
      </c>
    </row>
    <row r="5">
      <c r="A5" s="3" t="inlineStr">
        <is>
          <t>n</t>
        </is>
      </c>
      <c r="B5" s="11" t="inlineStr">
        <is>
          <t>3 independent trials of the full MCCE4 pipeline (steps 1-4)</t>
        </is>
      </c>
    </row>
    <row r="6">
      <c r="A6" s="3" t="inlineStr">
        <is>
          <t>Trial01</t>
        </is>
      </c>
      <c r="B6" s="11" t="inlineStr">
        <is>
          <t>MONTE_SEED = 1001</t>
        </is>
      </c>
    </row>
    <row r="7">
      <c r="A7" s="3" t="inlineStr">
        <is>
          <t>Trial02</t>
        </is>
      </c>
      <c r="B7" s="11" t="inlineStr">
        <is>
          <t>MONTE_SEED = 1002</t>
        </is>
      </c>
    </row>
    <row r="8">
      <c r="A8" s="3" t="inlineStr">
        <is>
          <t>Trial03</t>
        </is>
      </c>
      <c r="B8" s="11" t="inlineStr">
        <is>
          <t>MONTE_SEED = 1003</t>
        </is>
      </c>
    </row>
    <row r="9">
      <c r="A9" s="3" t="inlineStr">
        <is>
          <t>What varies</t>
        </is>
      </c>
      <c r="B9" s="11" t="inlineStr">
        <is>
          <t>step2 rotamer generation does not reproduce between runs, so each trial has its own conformer set, and step4 Monte Carlo uses a per-trial seed. A trial is therefore the replicate unit: re-running step4 alone in a finished tree would hold the conformers fixed and understate the spread.</t>
        </is>
      </c>
    </row>
    <row r="11">
      <c r="A11" s="6" t="inlineStr">
        <is>
          <t>Statistics</t>
        </is>
      </c>
    </row>
    <row r="12">
      <c r="A12" s="3" t="inlineStr">
        <is>
          <t>mean</t>
        </is>
      </c>
      <c r="B12" s="11" t="inlineStr">
        <is>
          <t>arithmetic mean over the n trials</t>
        </is>
      </c>
    </row>
    <row r="13">
      <c r="A13" s="3" t="inlineStr">
        <is>
          <t>SD</t>
        </is>
      </c>
      <c r="B13" s="11" t="inlineStr">
        <is>
          <t>sample standard deviation (n-1 denominator)</t>
        </is>
      </c>
    </row>
    <row r="14">
      <c r="A14" s="3" t="inlineStr">
        <is>
          <t>SEM</t>
        </is>
      </c>
      <c r="B14" s="11" t="inlineStr">
        <is>
          <t>SD / √n — every ± column, and the plotted error bar</t>
        </is>
      </c>
    </row>
    <row r="15">
      <c r="A15" s="3" t="inlineStr">
        <is>
          <t>∆crg (Table 1)</t>
        </is>
      </c>
      <c r="B15" s="11" t="inlineStr">
        <is>
          <t>difference of the trial means; ± is the propagated SEM √(a²+b²)</t>
        </is>
      </c>
    </row>
    <row r="16">
      <c r="A16" s="3" t="inlineStr">
        <is>
          <t>∆q (per residue)</t>
        </is>
      </c>
      <c r="B16" s="11" t="inlineStr">
        <is>
          <t>holo − apo computed WITHIN each trial, then averaged. apo reuses holo's conformers inside a trial, so the pairing cancels the conformer set; combining two independent SEMs would overstate the error.</t>
        </is>
      </c>
    </row>
    <row r="18">
      <c r="A18" s="3" t="inlineStr">
        <is>
          <t>Caveat</t>
        </is>
      </c>
      <c r="B18" s="11" t="inlineStr">
        <is>
          <t>Error bars are ±1 SEM, NOT a confidence interval. With n=3 there are 2 degrees of freedom, so a 95% CI would be mean ± 4.30 × SEM.</t>
        </is>
      </c>
    </row>
    <row r="19">
      <c r="A19" s="3" t="inlineStr">
        <is>
          <t>Scope</t>
        </is>
      </c>
      <c r="B19" s="11" t="inlineStr">
        <is>
          <t>The spread reflects run-to-run reproducibility of the pipeline. It does not include force-field, dielectric (ε=4) or crystal-structure uncertainty.</t>
        </is>
      </c>
    </row>
    <row r="21">
      <c r="A21" s="6" t="inlineStr">
        <is>
          <t>Provenance</t>
        </is>
      </c>
    </row>
    <row r="22">
      <c r="A22" s="3" t="inlineStr">
        <is>
          <t>Charges</t>
        </is>
      </c>
      <c r="B22" s="11" t="inlineStr">
        <is>
          <t>xts_sum_crg.out at pH 7.4 — the entropy-corrected output of xts_corr.py, which step4 does not produce on its own</t>
        </is>
      </c>
    </row>
    <row r="23">
      <c r="A23" s="3" t="inlineStr">
        <is>
          <t>Ligand #conf</t>
        </is>
      </c>
      <c r="B23" s="11" t="inlineStr">
        <is>
          <t>conformer count for the ligand in run_inhib/head3.lst</t>
        </is>
      </c>
    </row>
    <row r="24">
      <c r="A24" s="3" t="inlineStr">
        <is>
          <t>Kinase</t>
        </is>
      </c>
      <c r="B24" s="11" t="inlineStr">
        <is>
          <t>the Kinase column of pdb_inhibitor.lst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3" customWidth="1" min="3" max="3"/>
    <col width="9" customWidth="1" min="4" max="4"/>
    <col width="7" customWidth="1" min="5" max="5"/>
    <col width="8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2" t="inlineStr">
        <is>
          <t>Tier</t>
        </is>
      </c>
      <c r="B1" s="12" t="inlineStr">
        <is>
          <t>PDB</t>
        </is>
      </c>
      <c r="C1" s="12" t="inlineStr">
        <is>
          <t>Inhibitor</t>
        </is>
      </c>
      <c r="D1" s="12" t="inlineStr">
        <is>
          <t>ResName</t>
        </is>
      </c>
      <c r="E1" s="12" t="inlineStr">
        <is>
          <t>Chain</t>
        </is>
      </c>
      <c r="F1" s="12" t="inlineStr">
        <is>
          <t>ResNum</t>
        </is>
      </c>
      <c r="G1" s="12" t="inlineStr">
        <is>
          <t>Residue</t>
        </is>
      </c>
      <c r="H1" s="12" t="inlineStr">
        <is>
          <t>ApoCharge</t>
        </is>
      </c>
      <c r="I1" s="12" t="inlineStr">
        <is>
          <t>HoloCharge</t>
        </is>
      </c>
      <c r="J1" s="12" t="inlineStr">
        <is>
          <t>DeltaCharge</t>
        </is>
      </c>
      <c r="K1" s="12" t="inlineStr">
        <is>
          <t>DeltaSEM</t>
        </is>
      </c>
      <c r="L1" s="12" t="inlineStr">
        <is>
          <t>DeltaMin</t>
        </is>
      </c>
      <c r="M1" s="12" t="inlineStr">
        <is>
          <t>DeltaMax</t>
        </is>
      </c>
      <c r="N1" s="12" t="inlineStr">
        <is>
          <t>Reproducible</t>
        </is>
      </c>
    </row>
    <row r="2">
      <c r="A2" s="3" t="inlineStr">
        <is>
          <t>strong</t>
        </is>
      </c>
      <c r="B2" s="3" t="inlineStr">
        <is>
          <t>4MKC</t>
        </is>
      </c>
      <c r="C2" s="3" t="inlineStr">
        <is>
          <t>Ceritinib</t>
        </is>
      </c>
      <c r="D2" s="3" t="inlineStr">
        <is>
          <t>LYS</t>
        </is>
      </c>
      <c r="E2" s="3" t="inlineStr">
        <is>
          <t>A</t>
        </is>
      </c>
      <c r="F2" s="3" t="n">
        <v>1205</v>
      </c>
      <c r="G2" s="3" t="inlineStr">
        <is>
          <t>LYS+A1205</t>
        </is>
      </c>
      <c r="H2" s="10" t="n">
        <v>0.66</v>
      </c>
      <c r="I2" s="10" t="n">
        <v>0.15</v>
      </c>
      <c r="J2" s="10" t="n">
        <v>-0.51</v>
      </c>
      <c r="K2" s="10" t="n">
        <v>0</v>
      </c>
      <c r="L2" s="10" t="n">
        <v>-0.51</v>
      </c>
      <c r="M2" s="10" t="n">
        <v>-0.51</v>
      </c>
      <c r="N2" s="3" t="inlineStr">
        <is>
          <t>yes</t>
        </is>
      </c>
    </row>
    <row r="3">
      <c r="A3" s="3" t="inlineStr">
        <is>
          <t>affected</t>
        </is>
      </c>
      <c r="B3" s="3" t="inlineStr">
        <is>
          <t>1XKK</t>
        </is>
      </c>
      <c r="C3" s="3" t="inlineStr">
        <is>
          <t>Lapatinib</t>
        </is>
      </c>
      <c r="D3" s="3" t="inlineStr">
        <is>
          <t>LYS</t>
        </is>
      </c>
      <c r="E3" s="3" t="inlineStr">
        <is>
          <t>A</t>
        </is>
      </c>
      <c r="F3" s="3" t="n">
        <v>745</v>
      </c>
      <c r="G3" s="3" t="inlineStr">
        <is>
          <t>LYS+A0745</t>
        </is>
      </c>
      <c r="H3" s="10" t="n">
        <v>0.907</v>
      </c>
      <c r="I3" s="10" t="n">
        <v>0.55</v>
      </c>
      <c r="J3" s="10" t="n">
        <v>-0.357</v>
      </c>
      <c r="K3" s="10" t="n">
        <v>0.007</v>
      </c>
      <c r="L3" s="10" t="n">
        <v>-0.37</v>
      </c>
      <c r="M3" s="10" t="n">
        <v>-0.35</v>
      </c>
      <c r="N3" s="3" t="inlineStr">
        <is>
          <t>yes</t>
        </is>
      </c>
    </row>
    <row r="4">
      <c r="A4" s="3" t="inlineStr">
        <is>
          <t>affected</t>
        </is>
      </c>
      <c r="B4" s="3" t="inlineStr">
        <is>
          <t>1XKK</t>
        </is>
      </c>
      <c r="C4" s="3" t="inlineStr">
        <is>
          <t>Lapatinib</t>
        </is>
      </c>
      <c r="D4" s="3" t="inlineStr">
        <is>
          <t>CYS</t>
        </is>
      </c>
      <c r="E4" s="3" t="inlineStr">
        <is>
          <t>A</t>
        </is>
      </c>
      <c r="F4" s="3" t="n">
        <v>775</v>
      </c>
      <c r="G4" s="3" t="inlineStr">
        <is>
          <t>CYS-A0775</t>
        </is>
      </c>
      <c r="H4" s="10" t="n">
        <v>-0.287</v>
      </c>
      <c r="I4" s="10" t="n">
        <v>0</v>
      </c>
      <c r="J4" s="10" t="n">
        <v>0.287</v>
      </c>
      <c r="K4" s="10" t="n">
        <v>0.008999999999999999</v>
      </c>
      <c r="L4" s="10" t="n">
        <v>0.27</v>
      </c>
      <c r="M4" s="10" t="n">
        <v>0.3</v>
      </c>
      <c r="N4" s="3" t="inlineStr">
        <is>
          <t>yes</t>
        </is>
      </c>
    </row>
    <row r="5">
      <c r="A5" s="3" t="inlineStr">
        <is>
          <t>affected</t>
        </is>
      </c>
      <c r="B5" s="3" t="inlineStr">
        <is>
          <t>3UE4</t>
        </is>
      </c>
      <c r="C5" s="3" t="inlineStr">
        <is>
          <t>Bosutinib</t>
        </is>
      </c>
      <c r="D5" s="3" t="inlineStr">
        <is>
          <t>GLU</t>
        </is>
      </c>
      <c r="E5" s="3" t="inlineStr">
        <is>
          <t>A</t>
        </is>
      </c>
      <c r="F5" s="3" t="n">
        <v>286</v>
      </c>
      <c r="G5" s="3" t="inlineStr">
        <is>
          <t>GLU-A0286</t>
        </is>
      </c>
      <c r="H5" s="10" t="n">
        <v>-0.307</v>
      </c>
      <c r="I5" s="10" t="n">
        <v>-0.5570000000000001</v>
      </c>
      <c r="J5" s="10" t="n">
        <v>-0.25</v>
      </c>
      <c r="K5" s="10" t="n">
        <v>0.012</v>
      </c>
      <c r="L5" s="10" t="n">
        <v>-0.27</v>
      </c>
      <c r="M5" s="10" t="n">
        <v>-0.23</v>
      </c>
      <c r="N5" s="3" t="inlineStr">
        <is>
          <t>yes</t>
        </is>
      </c>
    </row>
    <row r="6">
      <c r="A6" s="3" t="inlineStr">
        <is>
          <t>affected</t>
        </is>
      </c>
      <c r="B6" s="3" t="inlineStr">
        <is>
          <t>4AN2</t>
        </is>
      </c>
      <c r="C6" s="3" t="inlineStr">
        <is>
          <t>Cobimetinib</t>
        </is>
      </c>
      <c r="D6" s="3" t="inlineStr">
        <is>
          <t>CYS</t>
        </is>
      </c>
      <c r="E6" s="3" t="inlineStr">
        <is>
          <t>A</t>
        </is>
      </c>
      <c r="F6" s="3" t="n">
        <v>207</v>
      </c>
      <c r="G6" s="3" t="inlineStr">
        <is>
          <t>CYS-A0207</t>
        </is>
      </c>
      <c r="H6" s="10" t="n">
        <v>-0.733</v>
      </c>
      <c r="I6" s="10" t="n">
        <v>-0.97</v>
      </c>
      <c r="J6" s="10" t="n">
        <v>-0.237</v>
      </c>
      <c r="K6" s="10" t="n">
        <v>0.007</v>
      </c>
      <c r="L6" s="10" t="n">
        <v>-0.25</v>
      </c>
      <c r="M6" s="10" t="n">
        <v>-0.23</v>
      </c>
      <c r="N6" s="3" t="inlineStr">
        <is>
          <t>yes</t>
        </is>
      </c>
    </row>
    <row r="7">
      <c r="A7" s="3" t="inlineStr">
        <is>
          <t>affected</t>
        </is>
      </c>
      <c r="B7" s="3" t="inlineStr">
        <is>
          <t>4I22</t>
        </is>
      </c>
      <c r="C7" s="3" t="inlineStr">
        <is>
          <t>Gefitinib</t>
        </is>
      </c>
      <c r="D7" s="3" t="inlineStr">
        <is>
          <t>HIS</t>
        </is>
      </c>
      <c r="E7" s="3" t="inlineStr">
        <is>
          <t>A</t>
        </is>
      </c>
      <c r="F7" s="3" t="n">
        <v>850</v>
      </c>
      <c r="G7" s="3" t="inlineStr">
        <is>
          <t>HIS+A0850</t>
        </is>
      </c>
      <c r="H7" s="10" t="n">
        <v>0.78</v>
      </c>
      <c r="I7" s="10" t="n">
        <v>0.55</v>
      </c>
      <c r="J7" s="10" t="n">
        <v>-0.23</v>
      </c>
      <c r="K7" s="10" t="n">
        <v>0.026</v>
      </c>
      <c r="L7" s="10" t="n">
        <v>-0.28</v>
      </c>
      <c r="M7" s="10" t="n">
        <v>-0.19</v>
      </c>
      <c r="N7" s="3" t="inlineStr">
        <is>
          <t>NO</t>
        </is>
      </c>
    </row>
    <row r="8">
      <c r="A8" s="3" t="inlineStr">
        <is>
          <t>affected</t>
        </is>
      </c>
      <c r="B8" s="3" t="inlineStr">
        <is>
          <t>2EUF</t>
        </is>
      </c>
      <c r="C8" s="3" t="inlineStr">
        <is>
          <t>Palbociclib</t>
        </is>
      </c>
      <c r="D8" s="3" t="inlineStr">
        <is>
          <t>LYS</t>
        </is>
      </c>
      <c r="E8" s="3" t="inlineStr">
        <is>
          <t>B</t>
        </is>
      </c>
      <c r="F8" s="3" t="n">
        <v>43</v>
      </c>
      <c r="G8" s="3" t="inlineStr">
        <is>
          <t>LYS+B0043</t>
        </is>
      </c>
      <c r="H8" s="10" t="n">
        <v>0.9</v>
      </c>
      <c r="I8" s="10" t="n">
        <v>0.673</v>
      </c>
      <c r="J8" s="10" t="n">
        <v>-0.227</v>
      </c>
      <c r="K8" s="10" t="n">
        <v>0.227</v>
      </c>
      <c r="L8" s="10" t="n">
        <v>-0.68</v>
      </c>
      <c r="M8" s="10" t="n">
        <v>0</v>
      </c>
      <c r="N8" s="3" t="inlineStr">
        <is>
          <t>NO</t>
        </is>
      </c>
    </row>
    <row r="10">
      <c r="A10" s="5" t="inlineStr">
        <is>
          <t>Reproducible = every trial clears the tier threshold. 'NO' means the classification depends on which trial you look at.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0" customWidth="1" min="3" max="3"/>
    <col width="62" customWidth="1" min="4" max="4"/>
  </cols>
  <sheetData>
    <row r="1">
      <c r="A1" s="6" t="inlineStr">
        <is>
          <t>Is the mean a fair summary of the trials?</t>
        </is>
      </c>
    </row>
    <row r="3">
      <c r="A3" s="6" t="inlineStr">
        <is>
          <t>Fig4A — per residue (holo vs apo)</t>
        </is>
      </c>
    </row>
    <row r="4">
      <c r="A4" s="6" t="inlineStr">
        <is>
          <t>Category</t>
        </is>
      </c>
      <c r="B4" s="6" t="inlineStr">
        <is>
          <t>N</t>
        </is>
      </c>
      <c r="C4" s="6" t="inlineStr">
        <is>
          <t>Percent</t>
        </is>
      </c>
      <c r="D4" s="6" t="inlineStr">
        <is>
          <t>Meaning</t>
        </is>
      </c>
    </row>
    <row r="5">
      <c r="A5" s="3" t="inlineStr">
        <is>
          <t>identical</t>
        </is>
      </c>
      <c r="B5" s="3" t="n">
        <v>3165</v>
      </c>
      <c r="C5" s="3" t="n">
        <v>86.3</v>
      </c>
      <c r="D5" s="3" t="inlineStr">
        <is>
          <t>all trials gave the same value; SEM is exactly 0</t>
        </is>
      </c>
    </row>
    <row r="6">
      <c r="A6" s="3" t="inlineStr">
        <is>
          <t>scattered</t>
        </is>
      </c>
      <c r="B6" s="3" t="n">
        <v>502</v>
      </c>
      <c r="C6" s="3" t="n">
        <v>13.7</v>
      </c>
      <c r="D6" s="3" t="inlineStr">
        <is>
          <t>unimodal spread; mean +/- SEM is a fair summary</t>
        </is>
      </c>
    </row>
    <row r="7">
      <c r="A7" s="3" t="inlineStr">
        <is>
          <t>two-state</t>
        </is>
      </c>
      <c r="B7" s="3" t="n">
        <v>1</v>
      </c>
      <c r="C7" s="3" t="n">
        <v>0</v>
      </c>
      <c r="D7" s="3" t="inlineStr">
        <is>
          <t>discrete bistability; the mean is a value never sampled</t>
        </is>
      </c>
    </row>
    <row r="9">
      <c r="A9" s="6" t="inlineStr">
        <is>
          <t># points NOT summarised well by mean +/- SEM</t>
        </is>
      </c>
    </row>
    <row r="10">
      <c r="A10" s="6" t="inlineStr">
        <is>
          <t>Key</t>
        </is>
      </c>
      <c r="B10" s="6" t="inlineStr">
        <is>
          <t>PerTrial</t>
        </is>
      </c>
      <c r="C10" s="6" t="inlineStr">
        <is>
          <t>Range</t>
        </is>
      </c>
    </row>
    <row r="11">
      <c r="A11" s="3" t="inlineStr">
        <is>
          <t>2EUF/LYS+B0043_</t>
        </is>
      </c>
      <c r="B11" s="3" t="inlineStr">
        <is>
          <t>-0.68;+0.00;+0.00</t>
        </is>
      </c>
      <c r="C11" s="3" t="n">
        <v>0.68</v>
      </c>
    </row>
    <row r="12">
      <c r="A12" s="3" t="inlineStr">
        <is>
          <t>4I22/HIS+A0850_</t>
        </is>
      </c>
      <c r="B12" s="3" t="inlineStr">
        <is>
          <t>-0.28;-0.22;-0.19</t>
        </is>
      </c>
      <c r="C12" s="3" t="n">
        <v>0.09</v>
      </c>
    </row>
    <row r="13">
      <c r="A13" s="3" t="inlineStr">
        <is>
          <t>4I22/HIS+A0773_</t>
        </is>
      </c>
      <c r="B13" s="3" t="inlineStr">
        <is>
          <t>+0.22;+0.18;+0.15</t>
        </is>
      </c>
      <c r="C13" s="3" t="n">
        <v>0.07000000000000001</v>
      </c>
    </row>
    <row r="14">
      <c r="A14" s="3" t="inlineStr">
        <is>
          <t>2WGJ/HIS+A1094_</t>
        </is>
      </c>
      <c r="B14" s="3" t="inlineStr">
        <is>
          <t>-0.13;-0.15;-0.19</t>
        </is>
      </c>
      <c r="C14" s="3" t="n">
        <v>0.06</v>
      </c>
    </row>
    <row r="16">
      <c r="A16" s="6" t="inlineStr">
        <is>
          <t>Fig3 — per inhibitor (bound vs solution)</t>
        </is>
      </c>
    </row>
    <row r="17">
      <c r="A17" s="6" t="inlineStr">
        <is>
          <t>Category</t>
        </is>
      </c>
      <c r="B17" s="6" t="inlineStr">
        <is>
          <t>N</t>
        </is>
      </c>
      <c r="C17" s="6" t="inlineStr">
        <is>
          <t>Percent</t>
        </is>
      </c>
      <c r="D17" s="6" t="inlineStr">
        <is>
          <t>Meaning</t>
        </is>
      </c>
    </row>
    <row r="18">
      <c r="A18" s="3" t="inlineStr">
        <is>
          <t>identical</t>
        </is>
      </c>
      <c r="B18" s="3" t="n">
        <v>21</v>
      </c>
      <c r="C18" s="3" t="n">
        <v>56.8</v>
      </c>
      <c r="D18" s="3" t="inlineStr">
        <is>
          <t>all trials gave the same value; SEM is exactly 0</t>
        </is>
      </c>
    </row>
    <row r="19">
      <c r="A19" s="3" t="inlineStr">
        <is>
          <t>scattered</t>
        </is>
      </c>
      <c r="B19" s="3" t="n">
        <v>15</v>
      </c>
      <c r="C19" s="3" t="n">
        <v>40.5</v>
      </c>
      <c r="D19" s="3" t="inlineStr">
        <is>
          <t>unimodal spread; mean +/- SEM is a fair summary</t>
        </is>
      </c>
    </row>
    <row r="20">
      <c r="A20" s="3" t="inlineStr">
        <is>
          <t>two-state</t>
        </is>
      </c>
      <c r="B20" s="3" t="n">
        <v>1</v>
      </c>
      <c r="C20" s="3" t="n">
        <v>2.7</v>
      </c>
      <c r="D20" s="3" t="inlineStr">
        <is>
          <t>discrete bistability; the mean is a value never sampled</t>
        </is>
      </c>
    </row>
    <row r="22">
      <c r="A22" s="6" t="inlineStr">
        <is>
          <t># points NOT summarised well by mean +/- SEM</t>
        </is>
      </c>
    </row>
    <row r="23">
      <c r="A23" s="6" t="inlineStr">
        <is>
          <t>Key</t>
        </is>
      </c>
      <c r="B23" s="6" t="inlineStr">
        <is>
          <t>PerTrial</t>
        </is>
      </c>
      <c r="C23" s="6" t="inlineStr">
        <is>
          <t>Range</t>
        </is>
      </c>
    </row>
    <row r="24">
      <c r="A24" s="3" t="inlineStr">
        <is>
          <t>3CS9</t>
        </is>
      </c>
      <c r="B24" s="3" t="inlineStr">
        <is>
          <t>+0.17;+0.61;+0.19</t>
        </is>
      </c>
      <c r="C24" s="3" t="n">
        <v>0.44</v>
      </c>
    </row>
    <row r="25">
      <c r="A25" s="3" t="inlineStr">
        <is>
          <t>5MO4</t>
        </is>
      </c>
      <c r="B25" s="3" t="inlineStr">
        <is>
          <t>+0.48;+0.21;+0.25</t>
        </is>
      </c>
      <c r="C25" s="3" t="n">
        <v>0.27</v>
      </c>
    </row>
    <row r="26">
      <c r="A26" s="3" t="inlineStr">
        <is>
          <t>3AOX</t>
        </is>
      </c>
      <c r="B26" s="3" t="inlineStr">
        <is>
          <t>+0.90;+0.79;+0.79</t>
        </is>
      </c>
      <c r="C26" s="3" t="n">
        <v>0.11</v>
      </c>
    </row>
    <row r="27">
      <c r="A27" s="3" t="inlineStr">
        <is>
          <t>2ITO</t>
        </is>
      </c>
      <c r="B27" s="3" t="inlineStr">
        <is>
          <t>+0.72;+0.77;+0.80</t>
        </is>
      </c>
      <c r="C27" s="3" t="n">
        <v>0.08</v>
      </c>
    </row>
    <row r="28">
      <c r="A28" s="3" t="inlineStr">
        <is>
          <t>4I22</t>
        </is>
      </c>
      <c r="B28" s="3" t="inlineStr">
        <is>
          <t>+0.45;+0.47;+0.52</t>
        </is>
      </c>
      <c r="C28" s="3" t="n">
        <v>0.07000000000000001</v>
      </c>
    </row>
    <row r="29">
      <c r="A29" s="3" t="inlineStr">
        <is>
          <t>4AN2</t>
        </is>
      </c>
      <c r="B29" s="3" t="inlineStr">
        <is>
          <t>+0.23;+0.29;+0.22</t>
        </is>
      </c>
      <c r="C29" s="3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2026-09-22T19:29:54Z</dcterms:created>
  <dcterms:modified xmlns:dcterms="http://purl.org/dc/terms/" xmlns:xsi="http://www.w3.org/2001/XMLSchema-instance" xsi:type="dcterms:W3CDTF">2026-09-22T19:29:54Z</dcterms:modified>
</cp:coreProperties>
</file>